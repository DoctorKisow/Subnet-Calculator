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workbookPr codeName="ThisWorkbook" defaultThemeVersion="166925"/>
  <mc:AlternateContent xmlns:mc="http://schemas.openxmlformats.org/markup-compatibility/2006">
    <mc:Choice Requires="x15">
      <x15ac:absPath xmlns:x15ac="http://schemas.microsoft.com/office/spreadsheetml/2010/11/ac" url="https://d.docs.live.net/da4e76ff04a48ce5/Documents/Network Tools/"/>
    </mc:Choice>
  </mc:AlternateContent>
  <xr:revisionPtr revIDLastSave="1471" documentId="13_ncr:1_{01EB6C62-3332-A045-899D-933272779E34}" xr6:coauthVersionLast="47" xr6:coauthVersionMax="47" xr10:uidLastSave="{030B1460-A7A6-BD49-B79C-24FC85A7882F}"/>
  <bookViews>
    <workbookView xWindow="0" yWindow="620" windowWidth="32000" windowHeight="15960" xr2:uid="{9AE1FF92-FE7A-874F-A03E-BB94DE8A2731}"/>
  </bookViews>
  <sheets>
    <sheet name="IPv4 CALCULATOR" sheetId="1" r:id="rId1"/>
    <sheet name="DICTIONARY" sheetId="5" r:id="rId2"/>
    <sheet name="RULES" sheetId="7" r:id="rId3"/>
    <sheet name="CLASSFUL vs CLASSLESS ADDRESING" sheetId="6" r:id="rId4"/>
    <sheet name="IPv4 CIDR" sheetId="3" r:id="rId5"/>
    <sheet name="ABOUT" sheetId="4"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D5" i="1" l="1"/>
  <c r="BB5" i="1"/>
  <c r="BB38" i="1"/>
  <c r="D5" i="4"/>
  <c r="B5" i="4" s="1"/>
  <c r="B31" i="1" s="1"/>
  <c r="BB28" i="1"/>
  <c r="BH11" i="1"/>
  <c r="BH12" i="1" s="1"/>
  <c r="BF11" i="1"/>
  <c r="BF12" i="1" s="1"/>
  <c r="BD11" i="1"/>
  <c r="BD12" i="1" s="1"/>
  <c r="BB11" i="1"/>
  <c r="BC11" i="1"/>
  <c r="BG11" i="1"/>
  <c r="BH8" i="1"/>
  <c r="BF8" i="1"/>
  <c r="BD8" i="1"/>
  <c r="BB8" i="1"/>
  <c r="BH5" i="1"/>
  <c r="BH29" i="1" s="1"/>
  <c r="BF5" i="1"/>
  <c r="BF29" i="1" s="1"/>
  <c r="BD5" i="1"/>
  <c r="BD29" i="1" s="1"/>
  <c r="AG11" i="1" l="1"/>
  <c r="BB29" i="1"/>
  <c r="BB6" i="1"/>
  <c r="BI8" i="1"/>
  <c r="BI5" i="1"/>
  <c r="BI11" i="1"/>
  <c r="O5" i="1" s="1"/>
  <c r="BB12" i="1"/>
  <c r="BI12" i="1" s="1"/>
  <c r="BH6" i="1"/>
  <c r="AU19" i="1"/>
  <c r="AP19" i="1"/>
  <c r="AT19" i="1"/>
  <c r="AQ19" i="1"/>
  <c r="AR19" i="1"/>
  <c r="AV19" i="1"/>
  <c r="AS19" i="1"/>
  <c r="AW19" i="1"/>
  <c r="F3" i="3"/>
  <c r="F4" i="3"/>
  <c r="BF9" i="1" l="1"/>
  <c r="BB9" i="1"/>
  <c r="BD9" i="1"/>
  <c r="BD6" i="1"/>
  <c r="BH9" i="1"/>
  <c r="BF6" i="1"/>
  <c r="BD41" i="1"/>
  <c r="BD42" i="1"/>
  <c r="BB41" i="1"/>
  <c r="BB42" i="1"/>
  <c r="BB40" i="1"/>
  <c r="BI40" i="1" s="1"/>
  <c r="O19" i="1"/>
  <c r="AN19" i="1"/>
  <c r="AJ19" i="1"/>
  <c r="AM19" i="1"/>
  <c r="AI19" i="1"/>
  <c r="AL19" i="1"/>
  <c r="AH19" i="1"/>
  <c r="AK19" i="1"/>
  <c r="AG19" i="1"/>
  <c r="AE19" i="1"/>
  <c r="AA19" i="1"/>
  <c r="AD19" i="1"/>
  <c r="Z19" i="1"/>
  <c r="AC19" i="1"/>
  <c r="Y19" i="1"/>
  <c r="AB19" i="1"/>
  <c r="X19" i="1"/>
  <c r="V19" i="1"/>
  <c r="R19" i="1"/>
  <c r="U19" i="1"/>
  <c r="Q19" i="1"/>
  <c r="T19" i="1"/>
  <c r="P19" i="1"/>
  <c r="S19" i="1"/>
  <c r="F16" i="3"/>
  <c r="F12" i="3"/>
  <c r="F23" i="3"/>
  <c r="F18" i="3"/>
  <c r="F17" i="3"/>
  <c r="F35" i="3"/>
  <c r="F30" i="3"/>
  <c r="F29" i="3"/>
  <c r="F13" i="3"/>
  <c r="F31" i="3"/>
  <c r="F15" i="3"/>
  <c r="F26" i="3"/>
  <c r="F10" i="3"/>
  <c r="F25" i="3"/>
  <c r="F9" i="3"/>
  <c r="F24" i="3"/>
  <c r="F8" i="3"/>
  <c r="F11" i="3"/>
  <c r="F34" i="3"/>
  <c r="F33" i="3"/>
  <c r="F32" i="3"/>
  <c r="F19" i="3"/>
  <c r="F14" i="3"/>
  <c r="F28" i="3"/>
  <c r="F27" i="3"/>
  <c r="F7" i="3"/>
  <c r="F22" i="3"/>
  <c r="F6" i="3"/>
  <c r="F21" i="3"/>
  <c r="F5" i="3"/>
  <c r="F20" i="3"/>
  <c r="D3" i="3"/>
  <c r="E3" i="3"/>
  <c r="C3" i="3"/>
  <c r="C11" i="3"/>
  <c r="D11" i="3"/>
  <c r="E11" i="3"/>
  <c r="C35" i="3"/>
  <c r="D35" i="3"/>
  <c r="E35" i="3"/>
  <c r="C31" i="3"/>
  <c r="E31" i="3"/>
  <c r="D31" i="3"/>
  <c r="C27" i="3"/>
  <c r="D27" i="3"/>
  <c r="E27" i="3"/>
  <c r="C23" i="3"/>
  <c r="D23" i="3"/>
  <c r="E23" i="3"/>
  <c r="C19" i="3"/>
  <c r="D19" i="3"/>
  <c r="E19" i="3"/>
  <c r="C15" i="3"/>
  <c r="D15" i="3"/>
  <c r="E15" i="3"/>
  <c r="C7" i="3"/>
  <c r="D7" i="3"/>
  <c r="E7" i="3"/>
  <c r="C34" i="3"/>
  <c r="E34" i="3"/>
  <c r="D34" i="3"/>
  <c r="C30" i="3"/>
  <c r="E30" i="3"/>
  <c r="D30" i="3"/>
  <c r="C26" i="3"/>
  <c r="E26" i="3"/>
  <c r="D26" i="3"/>
  <c r="C22" i="3"/>
  <c r="D22" i="3"/>
  <c r="E22" i="3"/>
  <c r="C18" i="3"/>
  <c r="D18" i="3"/>
  <c r="E18" i="3"/>
  <c r="C14" i="3"/>
  <c r="D14" i="3"/>
  <c r="E14" i="3"/>
  <c r="C10" i="3"/>
  <c r="D10" i="3"/>
  <c r="E10" i="3"/>
  <c r="C6" i="3"/>
  <c r="D6" i="3"/>
  <c r="E6" i="3"/>
  <c r="C33" i="3"/>
  <c r="E33" i="3"/>
  <c r="D33" i="3"/>
  <c r="C29" i="3"/>
  <c r="D29" i="3"/>
  <c r="E29" i="3"/>
  <c r="C25" i="3"/>
  <c r="D25" i="3"/>
  <c r="E25" i="3"/>
  <c r="C21" i="3"/>
  <c r="D21" i="3"/>
  <c r="E21" i="3"/>
  <c r="C17" i="3"/>
  <c r="D17" i="3"/>
  <c r="E17" i="3"/>
  <c r="C13" i="3"/>
  <c r="D13" i="3"/>
  <c r="E13" i="3"/>
  <c r="C9" i="3"/>
  <c r="D9" i="3"/>
  <c r="E9" i="3"/>
  <c r="C5" i="3"/>
  <c r="D5" i="3"/>
  <c r="E5" i="3"/>
  <c r="C32" i="3"/>
  <c r="D32" i="3"/>
  <c r="E32" i="3"/>
  <c r="C28" i="3"/>
  <c r="E28" i="3"/>
  <c r="D28" i="3"/>
  <c r="C24" i="3"/>
  <c r="D24" i="3"/>
  <c r="E24" i="3"/>
  <c r="C20" i="3"/>
  <c r="D20" i="3"/>
  <c r="E20" i="3"/>
  <c r="C16" i="3"/>
  <c r="D16" i="3"/>
  <c r="E16" i="3"/>
  <c r="C12" i="3"/>
  <c r="D12" i="3"/>
  <c r="E12" i="3"/>
  <c r="C8" i="3"/>
  <c r="D8" i="3"/>
  <c r="E8" i="3"/>
  <c r="C4" i="3"/>
  <c r="D4" i="3"/>
  <c r="E4" i="3"/>
  <c r="BI6" i="1" l="1"/>
  <c r="BI9" i="1"/>
  <c r="BI30" i="1" s="1"/>
  <c r="BI42" i="1"/>
  <c r="BI41" i="1"/>
  <c r="BI29" i="1"/>
  <c r="AG13" i="1" l="1"/>
  <c r="BB17" i="1"/>
  <c r="O9" i="1" s="1"/>
  <c r="BH20" i="1"/>
  <c r="BH19" i="1" l="1"/>
  <c r="BH22" i="1"/>
  <c r="BB23" i="1"/>
  <c r="BF22" i="1"/>
  <c r="BH23" i="1"/>
  <c r="BH24" i="1"/>
  <c r="BF24" i="1"/>
  <c r="BF23" i="1"/>
  <c r="BD22" i="1"/>
  <c r="BB22" i="1"/>
  <c r="BD24" i="1"/>
  <c r="BB24" i="1"/>
  <c r="BD23" i="1"/>
  <c r="AQ23" i="1" l="1"/>
  <c r="AR23" i="1"/>
  <c r="AS23" i="1"/>
  <c r="AT23" i="1"/>
  <c r="AV23" i="1"/>
  <c r="AW23" i="1"/>
  <c r="AP23" i="1"/>
  <c r="AU23" i="1"/>
  <c r="BI23" i="1"/>
  <c r="O15" i="1" s="1"/>
  <c r="BI24" i="1"/>
  <c r="O17" i="1" s="1"/>
  <c r="BI22" i="1"/>
  <c r="O13" i="1" s="1"/>
  <c r="BB26" i="1" l="1"/>
  <c r="BH14" i="1"/>
  <c r="BH15" i="1" s="1"/>
  <c r="BB20" i="1"/>
  <c r="BF20" i="1"/>
  <c r="BF19" i="1" s="1"/>
  <c r="BD20" i="1"/>
  <c r="BD19" i="1" s="1"/>
  <c r="BD14" i="1"/>
  <c r="BD15" i="1" s="1"/>
  <c r="AS21" i="1"/>
  <c r="AI21" i="1"/>
  <c r="Y21" i="1"/>
  <c r="BD26" i="1"/>
  <c r="BB36" i="1"/>
  <c r="C33" i="1" s="1"/>
  <c r="P21" i="1"/>
  <c r="R21" i="1"/>
  <c r="BF26" i="1"/>
  <c r="BB33" i="1"/>
  <c r="AW21" i="1"/>
  <c r="T21" i="1"/>
  <c r="AA21" i="1"/>
  <c r="AN21" i="1"/>
  <c r="Q21" i="1"/>
  <c r="BH26" i="1"/>
  <c r="Z21" i="1"/>
  <c r="AK21" i="1"/>
  <c r="AM21" i="1"/>
  <c r="AJ21" i="1"/>
  <c r="AL21" i="1"/>
  <c r="AU21" i="1"/>
  <c r="BB35" i="1"/>
  <c r="O21" i="1"/>
  <c r="AV21" i="1"/>
  <c r="AB21" i="1"/>
  <c r="AH21" i="1"/>
  <c r="BB37" i="1"/>
  <c r="S21" i="1"/>
  <c r="AT21" i="1"/>
  <c r="AC21" i="1"/>
  <c r="AE21" i="1"/>
  <c r="AQ21" i="1"/>
  <c r="AP21" i="1"/>
  <c r="X21" i="1"/>
  <c r="AR21" i="1"/>
  <c r="V21" i="1"/>
  <c r="AG21" i="1"/>
  <c r="BB34" i="1"/>
  <c r="AD21" i="1"/>
  <c r="U21" i="1"/>
  <c r="BB14" i="1"/>
  <c r="BF14" i="1"/>
  <c r="BB15" i="1" l="1"/>
  <c r="O7" i="1"/>
  <c r="BI26" i="1"/>
  <c r="BI14" i="1"/>
  <c r="BI20" i="1"/>
  <c r="X23" i="1"/>
  <c r="AA23" i="1"/>
  <c r="Z23" i="1"/>
  <c r="AE23" i="1"/>
  <c r="AB23" i="1"/>
  <c r="Y23" i="1"/>
  <c r="AC23" i="1"/>
  <c r="AD23" i="1"/>
  <c r="AM23" i="1"/>
  <c r="AG23" i="1"/>
  <c r="AJ23" i="1"/>
  <c r="AH23" i="1"/>
  <c r="AN23" i="1"/>
  <c r="AI23" i="1"/>
  <c r="AK23" i="1"/>
  <c r="AL23" i="1"/>
  <c r="BB19" i="1"/>
  <c r="O11" i="1" s="1"/>
  <c r="BF15" i="1"/>
  <c r="BI15" i="1" s="1"/>
  <c r="S23" i="1" l="1"/>
  <c r="O23" i="1"/>
  <c r="Q23" i="1"/>
  <c r="P23" i="1"/>
  <c r="R23" i="1"/>
  <c r="V23" i="1"/>
  <c r="BI19" i="1"/>
  <c r="U23" i="1"/>
  <c r="T23" i="1"/>
</calcChain>
</file>

<file path=xl/sharedStrings.xml><?xml version="1.0" encoding="utf-8"?>
<sst xmlns="http://schemas.openxmlformats.org/spreadsheetml/2006/main" count="234" uniqueCount="164">
  <si>
    <t xml:space="preserve">NETMASK: </t>
  </si>
  <si>
    <t xml:space="preserve">FIRST IP: </t>
  </si>
  <si>
    <t xml:space="preserve">LAST IP: </t>
  </si>
  <si>
    <t xml:space="preserve">BROADCAST IP: </t>
  </si>
  <si>
    <t xml:space="preserve">WILDCARD MASK: </t>
  </si>
  <si>
    <t xml:space="preserve">SUBNET SIZE: </t>
  </si>
  <si>
    <t>PREFIX</t>
  </si>
  <si>
    <t>NETMASK</t>
  </si>
  <si>
    <t>OCTET 1</t>
  </si>
  <si>
    <t>OCTET 2</t>
  </si>
  <si>
    <t>OCTET 3</t>
  </si>
  <si>
    <t>OCTET 4</t>
  </si>
  <si>
    <t>BINARY VALUE</t>
  </si>
  <si>
    <t>Matthew R. Kisow, D.Sc. - mkisow@ccac.edu</t>
  </si>
  <si>
    <t>Copyright (CC-BY-NC-SA v4.0)</t>
  </si>
  <si>
    <t>This work is licensed under the Creative Commons Attribution Non-Commercial Share-Alike 4.0 License. In short: 1) you are free to share and make derivative works of this work under the conditions that you appropriately attribute it; 2) you use the material only for non-commercial purposes; and 3) you distribute it only under a license compatible with this one.</t>
  </si>
  <si>
    <t>Copyright</t>
  </si>
  <si>
    <t>Subnet Calculator</t>
  </si>
  <si>
    <r>
      <rPr>
        <b/>
        <sz val="12"/>
        <color theme="1"/>
        <rFont val="Calibri"/>
        <family val="2"/>
        <scheme val="minor"/>
      </rPr>
      <t>SUBNET CALCULATOR</t>
    </r>
    <r>
      <rPr>
        <sz val="12"/>
        <color theme="1"/>
        <rFont val="Calibri"/>
        <family val="2"/>
        <scheme val="minor"/>
      </rPr>
      <t xml:space="preserve"> - A calculator used to show students how to calculate an IPv4 network number and host mask.</t>
    </r>
  </si>
  <si>
    <t>.</t>
  </si>
  <si>
    <t>SUBNET CLASS:</t>
  </si>
  <si>
    <t xml:space="preserve">BINARY NETMASK: </t>
  </si>
  <si>
    <t xml:space="preserve">PRIVATE IP RANGE: </t>
  </si>
  <si>
    <t xml:space="preserve">IS CIDR USED: </t>
  </si>
  <si>
    <t>255.255.255.240</t>
  </si>
  <si>
    <t xml:space="preserve">IS PRIVATE A: </t>
  </si>
  <si>
    <t xml:space="preserve">IS PRIVATE B: </t>
  </si>
  <si>
    <t xml:space="preserve">IS PRIVATE C: </t>
  </si>
  <si>
    <t>0.0.0.0</t>
  </si>
  <si>
    <t>128.0.0.0</t>
  </si>
  <si>
    <t>192.0.0.0</t>
  </si>
  <si>
    <t>224.0.0.0</t>
  </si>
  <si>
    <t>240.0.0.0</t>
  </si>
  <si>
    <t>248.0.0.0</t>
  </si>
  <si>
    <t>252.0.0.0</t>
  </si>
  <si>
    <t>254.0.0.0</t>
  </si>
  <si>
    <t>255.0.0.0</t>
  </si>
  <si>
    <t>255.128.0.0</t>
  </si>
  <si>
    <t>255.255.255.255</t>
  </si>
  <si>
    <t>255.255.255.252</t>
  </si>
  <si>
    <t>255.255.255.248</t>
  </si>
  <si>
    <t>255.255.255.224</t>
  </si>
  <si>
    <t>255.255.255.192</t>
  </si>
  <si>
    <t>255.255.255.128</t>
  </si>
  <si>
    <t>255.255.255.0</t>
  </si>
  <si>
    <t>255.255.254.0</t>
  </si>
  <si>
    <t>255.255.255.254</t>
  </si>
  <si>
    <t>255.255.252.0</t>
  </si>
  <si>
    <t>255.255.248.0</t>
  </si>
  <si>
    <t>255.255.240.0</t>
  </si>
  <si>
    <t>255.255.224.0</t>
  </si>
  <si>
    <t>255.255.192.0</t>
  </si>
  <si>
    <t>255.255.128.0</t>
  </si>
  <si>
    <t>255.255.0.0</t>
  </si>
  <si>
    <t>255.254.0.0</t>
  </si>
  <si>
    <t>255.252.0.0</t>
  </si>
  <si>
    <t>255.248.0.0</t>
  </si>
  <si>
    <t>255.240.0.0</t>
  </si>
  <si>
    <t>255.224.0.0</t>
  </si>
  <si>
    <t>255.192.0.0</t>
  </si>
  <si>
    <t xml:space="preserve">BINARY NETWORK ADDRESS: </t>
  </si>
  <si>
    <t xml:space="preserve">BINARY MAGIC NUMBER: </t>
  </si>
  <si>
    <t xml:space="preserve">NETWORK ADDRESS: </t>
  </si>
  <si>
    <t xml:space="preserve">BINARY TCP/IP ADDRESS: </t>
  </si>
  <si>
    <t xml:space="preserve">TCP/IP ADDRESS: </t>
  </si>
  <si>
    <t>/</t>
  </si>
  <si>
    <t xml:space="preserve">BINARY WILDCARD MASK: </t>
  </si>
  <si>
    <t xml:space="preserve">CALCULATED CIDR: </t>
  </si>
  <si>
    <t xml:space="preserve">NETMASK VALID: </t>
  </si>
  <si>
    <t xml:space="preserve">TCP/IP VALID: </t>
  </si>
  <si>
    <t xml:space="preserve">NETMASK OR CIDR: </t>
  </si>
  <si>
    <t xml:space="preserve">FIRST TCP/IP ADDRESS: </t>
  </si>
  <si>
    <t xml:space="preserve">BROADCAST TCP/IP ADDRESS: </t>
  </si>
  <si>
    <t xml:space="preserve">LAST TCP/IP ADDRESS: </t>
  </si>
  <si>
    <t>DATA VALIDATION</t>
  </si>
  <si>
    <t xml:space="preserve"> CALCULATED NETMASK: </t>
  </si>
  <si>
    <t xml:space="preserve">CIDR NETMASK: </t>
  </si>
  <si>
    <t xml:space="preserve">BINARY CIDR NETMASK: </t>
  </si>
  <si>
    <t>CALCULATIONS</t>
  </si>
  <si>
    <t>Dictionary Of Terms</t>
  </si>
  <si>
    <r>
      <rPr>
        <b/>
        <sz val="12"/>
        <color theme="1"/>
        <rFont val="Calibri"/>
        <family val="2"/>
        <scheme val="minor"/>
      </rPr>
      <t>TCP/IP ADDRESS:</t>
    </r>
    <r>
      <rPr>
        <sz val="12"/>
        <color theme="1"/>
        <rFont val="Calibri"/>
        <family val="2"/>
        <scheme val="minor"/>
      </rPr>
      <t xml:space="preserve"> A TCP/IP includes an Internet addressing scheme that allows users and applications to identify a specific network or host with which to communicate. An Internet address works like a postal address, allowing data to be routed to the chosen destination.TCP/IP ADDRESS: A TCP/IP includes an Internet addressing scheme that allows users and applications to identify a specific network or host with which to communicate. An Internet address works like a postal address, allowing data to be routed to the chosen destination.</t>
    </r>
  </si>
  <si>
    <r>
      <rPr>
        <b/>
        <sz val="12"/>
        <color theme="1"/>
        <rFont val="Calibri"/>
        <family val="2"/>
        <scheme val="minor"/>
      </rPr>
      <t xml:space="preserve">NETMASK: </t>
    </r>
    <r>
      <rPr>
        <sz val="12"/>
        <color theme="1"/>
        <rFont val="Calibri"/>
        <family val="2"/>
        <scheme val="minor"/>
      </rPr>
      <t>A subnet mask is used to divide an IP address into two parts. One part identifies the host (computer), the other part identifies the network to which it belongs.</t>
    </r>
  </si>
  <si>
    <r>
      <rPr>
        <b/>
        <sz val="12"/>
        <color theme="1"/>
        <rFont val="Calibri"/>
        <family val="2"/>
        <scheme val="minor"/>
      </rPr>
      <t xml:space="preserve">CIDR: </t>
    </r>
    <r>
      <rPr>
        <sz val="12"/>
        <color theme="1"/>
        <rFont val="Calibri"/>
        <family val="2"/>
        <scheme val="minor"/>
      </rPr>
      <t xml:space="preserve">Classless Inter-Domain Routing (CIDR) is an IP addressing scheme that replaces the older system based on classes A, B, and C. A single IP address can be used to designate many unique IP addresses with CIDR. A CIDR IP address looks like a normal IP address except that it ends with a slash followed by a number, called the IP network prefix. CIDR addresses reduce the size of routing tables and make more IP addresses available within organizations. </t>
    </r>
  </si>
  <si>
    <r>
      <rPr>
        <b/>
        <sz val="12"/>
        <color theme="1"/>
        <rFont val="Calibri"/>
        <family val="2"/>
        <scheme val="minor"/>
      </rPr>
      <t xml:space="preserve">SUBNET SIZE: </t>
    </r>
    <r>
      <rPr>
        <sz val="12"/>
        <color theme="1"/>
        <rFont val="Calibri"/>
        <family val="2"/>
        <scheme val="minor"/>
      </rPr>
      <t>The subnet size is determined by the number of bits in the subnet mask and depends on the organization's requirements for subnet size and the number of subnets.</t>
    </r>
  </si>
  <si>
    <r>
      <rPr>
        <b/>
        <sz val="12"/>
        <color theme="1"/>
        <rFont val="Calibri"/>
        <family val="2"/>
        <scheme val="minor"/>
      </rPr>
      <t>SUBNET CLASS:</t>
    </r>
    <r>
      <rPr>
        <sz val="12"/>
        <color theme="1"/>
        <rFont val="Calibri"/>
        <family val="2"/>
        <scheme val="minor"/>
      </rPr>
      <t xml:space="preserve"> A subnet class is designated by the number of bits their IP addresse has dedicated to the network and the number of bits dedicated to hosts. Easc class has a default subnet mask. Classes can be identified by the first octet of their IP address.</t>
    </r>
  </si>
  <si>
    <r>
      <rPr>
        <b/>
        <sz val="12"/>
        <color theme="1"/>
        <rFont val="Calibri"/>
        <family val="2"/>
        <scheme val="minor"/>
      </rPr>
      <t xml:space="preserve">FIRST IP: </t>
    </r>
    <r>
      <rPr>
        <sz val="12"/>
        <color theme="1"/>
        <rFont val="Calibri"/>
        <family val="2"/>
        <scheme val="minor"/>
      </rPr>
      <t>The first useable address of a network range.</t>
    </r>
  </si>
  <si>
    <r>
      <rPr>
        <b/>
        <sz val="12"/>
        <color theme="1"/>
        <rFont val="Calibri"/>
        <family val="2"/>
        <scheme val="minor"/>
      </rPr>
      <t xml:space="preserve">LAST IP: </t>
    </r>
    <r>
      <rPr>
        <sz val="12"/>
        <color theme="1"/>
        <rFont val="Calibri"/>
        <family val="2"/>
        <scheme val="minor"/>
      </rPr>
      <t>The last useable address of a network range.</t>
    </r>
  </si>
  <si>
    <r>
      <rPr>
        <b/>
        <sz val="12"/>
        <color theme="1"/>
        <rFont val="Calibri"/>
        <family val="2"/>
        <scheme val="minor"/>
      </rPr>
      <t>BROADCAST IP:</t>
    </r>
    <r>
      <rPr>
        <sz val="12"/>
        <color theme="1"/>
        <rFont val="Calibri"/>
        <family val="2"/>
        <scheme val="minor"/>
      </rPr>
      <t xml:space="preserve"> A broadcast address is a network address used to transmit to all devices connected to a multiple-access communications network. A message sent to a broadcast address may be received by all network-attached hosts. </t>
    </r>
  </si>
  <si>
    <r>
      <rPr>
        <b/>
        <sz val="12"/>
        <color theme="1"/>
        <rFont val="Calibri"/>
        <family val="2"/>
        <scheme val="minor"/>
      </rPr>
      <t>PRIVATE IP RANGE:</t>
    </r>
    <r>
      <rPr>
        <sz val="12"/>
        <color theme="1"/>
        <rFont val="Calibri"/>
        <family val="2"/>
        <scheme val="minor"/>
      </rPr>
      <t xml:space="preserve"> The private IP ranges are not allocated to any specific organization. There are three ranges of private IP space: CLASS A is 10.0.0.0/8 having 16,777,216 addresses allocated to it, CLASS B is 172.16.0.0/12 having 1,048,576 addresses allocated to it and CLASS C is 192.168.0.0/16 having 65,536 addresses allocated to it. These addresses are commonly used for local area networks (LANs) in residential, office, and enterprise environments.</t>
    </r>
  </si>
  <si>
    <t>Copyright © Matthew R. Kisow, D.Sc. 2022</t>
  </si>
  <si>
    <t xml:space="preserve">IS CLASS A (1): </t>
  </si>
  <si>
    <t xml:space="preserve">IS CLASS B (10): </t>
  </si>
  <si>
    <t xml:space="preserve">IS CLASS C (110): </t>
  </si>
  <si>
    <t xml:space="preserve">IS CLASS D (1110): </t>
  </si>
  <si>
    <t xml:space="preserve">IS CLASS E (1111): </t>
  </si>
  <si>
    <t>Enter the TCP/IP Address in the calculator above followed by the subnet mask in either CIDR or subnet notation.</t>
  </si>
  <si>
    <t>Classful Addressing</t>
  </si>
  <si>
    <t xml:space="preserve">Classful addressing was introduced in 1981, with classful routing, IPv4 addresses were divided into 5 classes (A through E). </t>
  </si>
  <si>
    <t xml:space="preserve"> </t>
  </si>
  <si>
    <t>Class A</t>
  </si>
  <si>
    <t>In a Class A address, the first bit of the first octet is always ‘0’. Thus, Class A addresses range from 0.0.0.0 to 127.255.255.255 (as 01111111 in binary converts to 127 in decimal). The first 8 bits or the first octet denote the network portion and the rest 24 bits or the 3 octets belong to the host portion. Its Subnet mask is 255.0.0.0.</t>
  </si>
  <si>
    <t xml:space="preserve">Example: 10.1.1.1 </t>
  </si>
  <si>
    <t>Exception –</t>
  </si>
  <si>
    <t xml:space="preserve">Therefore, the actual range of class A addresses is: 1.0.0.0 to 126.255.255.255 </t>
  </si>
  <si>
    <t>Class B</t>
  </si>
  <si>
    <t>In a Class B address, the first octet would always start with ’10’. Thus, Class B addresses range from 128.0.0.0 to 191.255.255.255. The first 16 bits or the first two octets denote the network portion and the remaining 16 bits or two octets belong to the host portion. Its Subnet mask is 255.255.0.0.</t>
  </si>
  <si>
    <t xml:space="preserve">Example: 172.16.1.1 </t>
  </si>
  <si>
    <t>Class C</t>
  </si>
  <si>
    <t>In a Class C address, the first octet would always start with ‘110’. Thus, Class C addresses range from 192.0.0.0 to 223.255.255.255. The first 24 bits or the first three octets denote the network portion and the rest 8 bits or the remaining one octet belong to the host portion. Its Subnet mask is 255.255.255.0.</t>
  </si>
  <si>
    <t xml:space="preserve">Example: 192.168.1.1 </t>
  </si>
  <si>
    <t>Class D</t>
  </si>
  <si>
    <t>Class D is used for multicast addressing and in Class D addresses the first octet would always start with ‘1110’. Thus, Class D addresses range from 224.0.0.0 to 239.255.255.255. Its Subnet mask is not defined.</t>
  </si>
  <si>
    <t xml:space="preserve">Example: 239.2.2.2 </t>
  </si>
  <si>
    <t xml:space="preserve">Class D addresses are used by routing protocols like OSPF, RIP, etc. </t>
  </si>
  <si>
    <t>Class E</t>
  </si>
  <si>
    <t>Class E addresses are reserved for research purposes and future use. The first octet in a Class E address starts with ‘1111’. Thus, Class E addresses range from 240.0.0.0 to 255.255.255.255. Its Subnet mask is not defined.</t>
  </si>
  <si>
    <t xml:space="preserve">The disadvantage of classful addressing: </t>
  </si>
  <si>
    <t>Classless Addressing</t>
  </si>
  <si>
    <t>Classless Inter-Domain Routing (CIDR)</t>
  </si>
  <si>
    <t xml:space="preserve">CIDR or Class Inter-Domain Routing was introduced in 1993 to replace classful addressing. It allows the user to use Variable Length Subnet Masks (VLSM). </t>
  </si>
  <si>
    <t xml:space="preserve">The example subnet is 255.255.255.0: </t>
  </si>
  <si>
    <t>First Octet</t>
  </si>
  <si>
    <t>255 has 8 binary 1's when converted to binary, (11111111)</t>
  </si>
  <si>
    <t>Second Octet</t>
  </si>
  <si>
    <t>Third Octet</t>
  </si>
  <si>
    <t>Fourth Octet</t>
  </si>
  <si>
    <t>0 has 0 binary 1's when converted to binary, (00000000)</t>
  </si>
  <si>
    <t>Therefore, in total there are 24 binary 1’s, so the subnet mask is /24.</t>
  </si>
  <si>
    <t xml:space="preserve">Subnet masks in CIDR must be contiguous, e.g. A subnet mask like 10111111.X.X.X cannot exist. </t>
  </si>
  <si>
    <t>With CIDR, we are able to VLSM which in turn leads to less waste of IP addresses. Unlike classful addressing, it is no longer necessary for the divider between the network and the host portions of an address to be an octet boundary, e.g. in CIDR a subnet mask like 255.224.0.0 or 11111111.11100000.00000000.00000000 can exist.</t>
  </si>
  <si>
    <r>
      <t>·</t>
    </r>
    <r>
      <rPr>
        <sz val="12"/>
        <color theme="1"/>
        <rFont val="Times New Roman"/>
        <family val="1"/>
      </rPr>
      <t xml:space="preserve">   </t>
    </r>
    <r>
      <rPr>
        <sz val="12"/>
        <color theme="1"/>
        <rFont val="Calibri"/>
        <family val="2"/>
        <scheme val="minor"/>
      </rPr>
      <t>Classes A-C: unicast addresses</t>
    </r>
  </si>
  <si>
    <r>
      <t>·</t>
    </r>
    <r>
      <rPr>
        <sz val="12"/>
        <color theme="1"/>
        <rFont val="Times New Roman"/>
        <family val="1"/>
      </rPr>
      <t xml:space="preserve">   </t>
    </r>
    <r>
      <rPr>
        <sz val="12"/>
        <color theme="1"/>
        <rFont val="Calibri"/>
        <family val="2"/>
        <scheme val="minor"/>
      </rPr>
      <t>Class D: multicast addresses</t>
    </r>
  </si>
  <si>
    <r>
      <t>·</t>
    </r>
    <r>
      <rPr>
        <sz val="12"/>
        <color theme="1"/>
        <rFont val="Times New Roman"/>
        <family val="1"/>
      </rPr>
      <t xml:space="preserve">   </t>
    </r>
    <r>
      <rPr>
        <sz val="12"/>
        <color theme="1"/>
        <rFont val="Calibri"/>
        <family val="2"/>
        <scheme val="minor"/>
      </rPr>
      <t xml:space="preserve">Class E: reserved for future use </t>
    </r>
  </si>
  <si>
    <r>
      <t>·</t>
    </r>
    <r>
      <rPr>
        <sz val="12"/>
        <color theme="1"/>
        <rFont val="Times New Roman"/>
        <family val="1"/>
      </rPr>
      <t xml:space="preserve">   </t>
    </r>
    <r>
      <rPr>
        <sz val="12"/>
        <color theme="1"/>
        <rFont val="Calibri"/>
        <family val="2"/>
        <scheme val="minor"/>
      </rPr>
      <t>127.X.X.X is reserved for loopback</t>
    </r>
  </si>
  <si>
    <r>
      <t>·</t>
    </r>
    <r>
      <rPr>
        <sz val="12"/>
        <color theme="1"/>
        <rFont val="Times New Roman"/>
        <family val="1"/>
      </rPr>
      <t xml:space="preserve">   </t>
    </r>
    <r>
      <rPr>
        <sz val="12"/>
        <color theme="1"/>
        <rFont val="Calibri"/>
        <family val="2"/>
        <scheme val="minor"/>
      </rPr>
      <t>0.X.X.X is reserved for the default network</t>
    </r>
  </si>
  <si>
    <r>
      <t>1.</t>
    </r>
    <r>
      <rPr>
        <sz val="12"/>
        <color theme="1"/>
        <rFont val="Times New Roman"/>
        <family val="1"/>
      </rPr>
      <t xml:space="preserve">     </t>
    </r>
    <r>
      <rPr>
        <sz val="12"/>
        <color theme="1"/>
        <rFont val="Calibri"/>
        <family val="2"/>
        <scheme val="minor"/>
      </rPr>
      <t>A Class A network with a netmask of 255.0.0.0 can support 2</t>
    </r>
    <r>
      <rPr>
        <vertAlign val="superscript"/>
        <sz val="12"/>
        <color theme="1"/>
        <rFont val="Calibri"/>
        <family val="2"/>
        <scheme val="minor"/>
      </rPr>
      <t>7</t>
    </r>
    <r>
      <rPr>
        <sz val="12"/>
        <color theme="1"/>
        <rFont val="Calibri"/>
        <family val="2"/>
        <scheme val="minor"/>
      </rPr>
      <t xml:space="preserve"> (128) networks with a total of (2</t>
    </r>
    <r>
      <rPr>
        <vertAlign val="superscript"/>
        <sz val="12"/>
        <color theme="1"/>
        <rFont val="Calibri"/>
        <family val="2"/>
        <scheme val="minor"/>
      </rPr>
      <t>24</t>
    </r>
    <r>
      <rPr>
        <sz val="12"/>
        <color theme="1"/>
        <rFont val="Calibri"/>
        <family val="2"/>
        <scheme val="minor"/>
      </rPr>
      <t xml:space="preserve">)-2 (16,777,214) hosts per network. </t>
    </r>
  </si>
  <si>
    <r>
      <t>2.</t>
    </r>
    <r>
      <rPr>
        <sz val="12"/>
        <color theme="1"/>
        <rFont val="Times New Roman"/>
        <family val="1"/>
      </rPr>
      <t xml:space="preserve">     </t>
    </r>
    <r>
      <rPr>
        <sz val="12"/>
        <color theme="1"/>
        <rFont val="Calibri"/>
        <family val="2"/>
        <scheme val="minor"/>
      </rPr>
      <t>Class B network with a netmask mask of 255.255.0.0 can support  2</t>
    </r>
    <r>
      <rPr>
        <vertAlign val="superscript"/>
        <sz val="12"/>
        <color theme="1"/>
        <rFont val="Calibri"/>
        <family val="2"/>
        <scheme val="minor"/>
      </rPr>
      <t>14</t>
    </r>
    <r>
      <rPr>
        <sz val="12"/>
        <color theme="1"/>
        <rFont val="Calibri"/>
        <family val="2"/>
        <scheme val="minor"/>
      </rPr>
      <t xml:space="preserve"> (16,384) networks with a total of (2</t>
    </r>
    <r>
      <rPr>
        <vertAlign val="superscript"/>
        <sz val="12"/>
        <color theme="1"/>
        <rFont val="Calibri"/>
        <family val="2"/>
        <scheme val="minor"/>
      </rPr>
      <t>16</t>
    </r>
    <r>
      <rPr>
        <sz val="12"/>
        <color theme="1"/>
        <rFont val="Calibri"/>
        <family val="2"/>
        <scheme val="minor"/>
      </rPr>
      <t xml:space="preserve">)-2 (65,534) hosts per network. </t>
    </r>
  </si>
  <si>
    <r>
      <t>3.</t>
    </r>
    <r>
      <rPr>
        <sz val="12"/>
        <color theme="1"/>
        <rFont val="Times New Roman"/>
        <family val="1"/>
      </rPr>
      <t xml:space="preserve">     </t>
    </r>
    <r>
      <rPr>
        <sz val="12"/>
        <color theme="1"/>
        <rFont val="Calibri"/>
        <family val="2"/>
        <scheme val="minor"/>
      </rPr>
      <t>Class C network with a netmask of 255.255.255.0 can support 221 networks with a total of (2</t>
    </r>
    <r>
      <rPr>
        <vertAlign val="superscript"/>
        <sz val="12"/>
        <color theme="1"/>
        <rFont val="Calibri"/>
        <family val="2"/>
        <scheme val="minor"/>
      </rPr>
      <t>8</t>
    </r>
    <r>
      <rPr>
        <sz val="12"/>
        <color theme="1"/>
        <rFont val="Calibri"/>
        <family val="2"/>
        <scheme val="minor"/>
      </rPr>
      <t xml:space="preserve">)-2 (254) addresses per network. </t>
    </r>
  </si>
  <si>
    <r>
      <t>In CIDR subnet masks are denoted by /</t>
    </r>
    <r>
      <rPr>
        <i/>
        <sz val="12"/>
        <color theme="1"/>
        <rFont val="Calibri"/>
        <family val="2"/>
        <scheme val="minor"/>
      </rPr>
      <t>x</t>
    </r>
    <r>
      <rPr>
        <sz val="12"/>
        <color theme="1"/>
        <rFont val="Calibri"/>
        <family val="2"/>
        <scheme val="minor"/>
      </rPr>
      <t xml:space="preserve">, e.g. A subnet of 255.255.255.0 would be denoted by /24. To work a subnet mask in CIDR, we have to first convert each octet into its respective binary value. </t>
    </r>
  </si>
  <si>
    <t>RULE</t>
  </si>
  <si>
    <t>PURPOSE</t>
  </si>
  <si>
    <t>EXAMPLE</t>
  </si>
  <si>
    <t>131.107.255.255</t>
  </si>
  <si>
    <t>131.107.0.0</t>
  </si>
  <si>
    <t>0.0.145.23</t>
  </si>
  <si>
    <t>255.255.1.142</t>
  </si>
  <si>
    <t>127.0.0.1</t>
  </si>
  <si>
    <t>Class D addresses are reserved for multicasting, while Class E addresses represent an experimental range</t>
  </si>
  <si>
    <t>224.0.0.1</t>
  </si>
  <si>
    <t>This address is used to represent a broadcast.</t>
  </si>
  <si>
    <t>This address is used to represent the default route.</t>
  </si>
  <si>
    <t>This address range is reserved for the loopback address.</t>
  </si>
  <si>
    <t>The address represents “on all networks”.</t>
  </si>
  <si>
    <t>This address represents “on this network”.</t>
  </si>
  <si>
    <t>This address identifies a network.</t>
  </si>
  <si>
    <t>This address represents a network broadcast.</t>
  </si>
  <si>
    <t>Host ID cannot be all binary 1s.</t>
  </si>
  <si>
    <t>Host ID cannot be all binary 0s.</t>
  </si>
  <si>
    <t>Network ID cannot be all binary 0s.</t>
  </si>
  <si>
    <t>Network ID cannot be all binary 1s.</t>
  </si>
  <si>
    <t>Network ID cannot be decimal 127.</t>
  </si>
  <si>
    <t>IP address cannot be all binary 0s.</t>
  </si>
  <si>
    <t>IP address cannot be all binary 1s.</t>
  </si>
  <si>
    <t>Network IDs of 224 and above in the first octet cannot be assigned to hosts.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</si>
</sst>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6" x14ac:knownFonts="1">
    <font>
      <sz val="12"/>
      <color theme="1"/>
      <name val="Calibri"/>
      <family val="2"/>
      <scheme val="minor"/>
    </font>
    <font>
      <b/>
      <sz val="12"/>
      <color theme="0"/>
      <name val="Calibri"/>
      <family val="2"/>
      <scheme val="minor"/>
    </font>
    <font>
      <b/>
      <sz val="12"/>
      <color theme="1"/>
      <name val="Calibri"/>
      <family val="2"/>
      <scheme val="minor"/>
    </font>
    <font>
      <b/>
      <sz val="18"/>
      <color theme="1"/>
      <name val="Calibri"/>
      <family val="2"/>
      <scheme val="minor"/>
    </font>
    <font>
      <sz val="8"/>
      <name val="Calibri"/>
      <family val="2"/>
      <scheme val="minor"/>
    </font>
    <font>
      <sz val="12"/>
      <name val="Calibri"/>
      <family val="2"/>
      <scheme val="minor"/>
    </font>
    <font>
      <b/>
      <sz val="18"/>
      <color theme="1"/>
      <name val="Calibri (Body)"/>
    </font>
    <font>
      <b/>
      <sz val="12"/>
      <name val="Calibri"/>
      <family val="2"/>
      <scheme val="minor"/>
    </font>
    <font>
      <sz val="18"/>
      <name val="Calibri"/>
      <family val="2"/>
      <scheme val="minor"/>
    </font>
    <font>
      <sz val="12"/>
      <color theme="1"/>
      <name val="Calibri"/>
      <family val="2"/>
      <scheme val="minor"/>
    </font>
    <font>
      <sz val="16"/>
      <name val="Calibri (Body)"/>
    </font>
    <font>
      <sz val="12"/>
      <color theme="1"/>
      <name val="Symbol"/>
      <charset val="2"/>
    </font>
    <font>
      <sz val="12"/>
      <color theme="1"/>
      <name val="Times New Roman"/>
      <family val="1"/>
    </font>
    <font>
      <vertAlign val="superscript"/>
      <sz val="12"/>
      <color theme="1"/>
      <name val="Calibri"/>
      <family val="2"/>
      <scheme val="minor"/>
    </font>
    <font>
      <i/>
      <sz val="12"/>
      <color theme="1"/>
      <name val="Calibri"/>
      <family val="2"/>
      <scheme val="minor"/>
    </font>
    <font>
      <b/>
      <sz val="12"/>
      <color rgb="FFFF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s>
  <cellStyleXfs count="2">
    <xf numFmtId="0" fontId="0" fillId="0" borderId="0"/>
    <xf numFmtId="43" fontId="9" fillId="0" borderId="0" applyFont="0" applyFill="0" applyBorder="0" applyAlignment="0" applyProtection="0"/>
  </cellStyleXfs>
  <cellXfs count="135">
    <xf numFmtId="0" fontId="0" fillId="0" borderId="0" xfId="0"/>
    <xf numFmtId="0" fontId="0" fillId="0" borderId="7"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xf>
    <xf numFmtId="0" fontId="0" fillId="0" borderId="8"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4" borderId="0" xfId="0" applyFill="1"/>
    <xf numFmtId="0" fontId="3" fillId="4" borderId="12" xfId="0" applyFont="1" applyFill="1" applyBorder="1"/>
    <xf numFmtId="0" fontId="0" fillId="4" borderId="13" xfId="0" applyFill="1" applyBorder="1"/>
    <xf numFmtId="0" fontId="6" fillId="4" borderId="14" xfId="0" applyFont="1" applyFill="1" applyBorder="1"/>
    <xf numFmtId="0" fontId="0" fillId="4" borderId="13" xfId="0" applyFont="1" applyFill="1" applyBorder="1" applyAlignment="1">
      <alignment wrapText="1"/>
    </xf>
    <xf numFmtId="0" fontId="0" fillId="4" borderId="15" xfId="0" applyFill="1" applyBorder="1"/>
    <xf numFmtId="0" fontId="5"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5" fillId="0" borderId="0" xfId="0" applyFont="1" applyAlignment="1" applyProtection="1">
      <alignment horizontal="center" vertical="center"/>
    </xf>
    <xf numFmtId="0" fontId="5" fillId="0" borderId="0" xfId="0" applyFont="1" applyBorder="1" applyAlignment="1" applyProtection="1">
      <alignment horizontal="center" vertical="center"/>
    </xf>
    <xf numFmtId="0" fontId="5" fillId="0" borderId="0" xfId="0" applyFont="1" applyAlignment="1" applyProtection="1">
      <alignment horizontal="right" vertical="center"/>
    </xf>
    <xf numFmtId="0" fontId="5" fillId="0" borderId="0" xfId="0" applyFont="1" applyAlignment="1" applyProtection="1">
      <alignment horizontal="left" vertical="center"/>
    </xf>
    <xf numFmtId="0" fontId="5" fillId="0" borderId="0" xfId="0" applyFont="1" applyAlignment="1" applyProtection="1">
      <alignment vertical="center"/>
    </xf>
    <xf numFmtId="0" fontId="5" fillId="0" borderId="0" xfId="0" applyFont="1" applyBorder="1" applyAlignment="1" applyProtection="1">
      <alignment vertical="center"/>
    </xf>
    <xf numFmtId="0" fontId="8" fillId="0" borderId="0" xfId="0" applyFont="1" applyBorder="1" applyAlignment="1" applyProtection="1">
      <alignment vertical="center" wrapText="1"/>
    </xf>
    <xf numFmtId="0" fontId="5" fillId="4" borderId="4" xfId="0" applyFont="1" applyFill="1" applyBorder="1" applyAlignment="1" applyProtection="1">
      <alignment vertical="center"/>
    </xf>
    <xf numFmtId="0" fontId="5" fillId="4" borderId="5" xfId="0" applyFont="1" applyFill="1" applyBorder="1" applyAlignment="1" applyProtection="1">
      <alignment vertical="center"/>
    </xf>
    <xf numFmtId="0" fontId="5" fillId="4" borderId="5" xfId="0" applyFont="1" applyFill="1" applyBorder="1" applyAlignment="1" applyProtection="1">
      <alignment horizontal="right" vertical="center"/>
    </xf>
    <xf numFmtId="0" fontId="5" fillId="4" borderId="5" xfId="0" applyFont="1" applyFill="1" applyBorder="1" applyAlignment="1" applyProtection="1">
      <alignment horizontal="left" vertical="center"/>
    </xf>
    <xf numFmtId="0" fontId="5" fillId="4" borderId="7" xfId="0" applyFont="1" applyFill="1" applyBorder="1" applyAlignment="1" applyProtection="1">
      <alignment vertical="center"/>
    </xf>
    <xf numFmtId="0" fontId="7" fillId="4" borderId="0" xfId="0" applyFont="1" applyFill="1" applyBorder="1" applyAlignment="1" applyProtection="1">
      <alignment vertical="center"/>
    </xf>
    <xf numFmtId="0" fontId="5" fillId="4" borderId="0" xfId="0" applyFont="1" applyFill="1" applyBorder="1" applyAlignment="1" applyProtection="1">
      <alignment horizontal="center" vertical="center"/>
    </xf>
    <xf numFmtId="0" fontId="5" fillId="4" borderId="8" xfId="0" applyFont="1" applyFill="1" applyBorder="1" applyAlignment="1" applyProtection="1">
      <alignment horizontal="center" vertical="center"/>
    </xf>
    <xf numFmtId="0" fontId="5" fillId="4" borderId="0" xfId="0" applyFont="1" applyFill="1" applyBorder="1" applyAlignment="1" applyProtection="1">
      <alignment vertical="center"/>
    </xf>
    <xf numFmtId="0" fontId="5" fillId="4" borderId="0" xfId="0" applyFont="1" applyFill="1" applyBorder="1" applyAlignment="1" applyProtection="1">
      <alignment horizontal="left" vertical="center"/>
    </xf>
    <xf numFmtId="0" fontId="7" fillId="4" borderId="0" xfId="0" applyFont="1" applyFill="1" applyBorder="1" applyAlignment="1" applyProtection="1">
      <alignment horizontal="center" vertical="center"/>
    </xf>
    <xf numFmtId="0" fontId="5" fillId="4" borderId="0" xfId="0" applyFont="1" applyFill="1" applyBorder="1" applyAlignment="1" applyProtection="1">
      <alignment horizontal="right" vertical="center"/>
    </xf>
    <xf numFmtId="0" fontId="5" fillId="4" borderId="9" xfId="0" applyFont="1" applyFill="1" applyBorder="1" applyAlignment="1" applyProtection="1">
      <alignment vertical="center"/>
    </xf>
    <xf numFmtId="0" fontId="5" fillId="4" borderId="10" xfId="0" applyFont="1" applyFill="1" applyBorder="1" applyAlignment="1" applyProtection="1">
      <alignment vertical="center"/>
    </xf>
    <xf numFmtId="0" fontId="7" fillId="4" borderId="10" xfId="0" applyFont="1" applyFill="1" applyBorder="1" applyAlignment="1" applyProtection="1">
      <alignment horizontal="right" vertical="center"/>
    </xf>
    <xf numFmtId="0" fontId="5" fillId="4" borderId="10" xfId="0" applyFont="1" applyFill="1" applyBorder="1" applyAlignment="1" applyProtection="1">
      <alignment horizontal="left" vertical="center"/>
    </xf>
    <xf numFmtId="0" fontId="5" fillId="4" borderId="16" xfId="0" applyFont="1" applyFill="1" applyBorder="1" applyAlignment="1" applyProtection="1">
      <alignment horizontal="center" vertical="center"/>
    </xf>
    <xf numFmtId="0" fontId="5" fillId="4" borderId="17" xfId="0" applyFont="1" applyFill="1" applyBorder="1" applyAlignment="1" applyProtection="1">
      <alignment horizontal="center" vertical="center"/>
    </xf>
    <xf numFmtId="0" fontId="5" fillId="4" borderId="18" xfId="0" applyFont="1" applyFill="1" applyBorder="1" applyAlignment="1" applyProtection="1">
      <alignment horizontal="center" vertical="center"/>
    </xf>
    <xf numFmtId="0" fontId="7" fillId="4" borderId="0" xfId="0" applyFont="1" applyFill="1" applyBorder="1" applyAlignment="1" applyProtection="1">
      <alignment horizontal="right" vertical="center"/>
    </xf>
    <xf numFmtId="0" fontId="5" fillId="4" borderId="5" xfId="0" applyFont="1" applyFill="1" applyBorder="1" applyAlignment="1" applyProtection="1">
      <alignment horizontal="center" vertical="center"/>
    </xf>
    <xf numFmtId="0" fontId="5" fillId="4" borderId="6" xfId="0" applyFont="1" applyFill="1" applyBorder="1" applyAlignment="1" applyProtection="1">
      <alignment horizontal="center" vertical="center"/>
    </xf>
    <xf numFmtId="0" fontId="5" fillId="4" borderId="10" xfId="0" applyFont="1" applyFill="1" applyBorder="1" applyAlignment="1" applyProtection="1">
      <alignment horizontal="center" vertical="center"/>
    </xf>
    <xf numFmtId="0" fontId="5" fillId="4" borderId="11" xfId="0" applyFont="1" applyFill="1" applyBorder="1" applyAlignment="1" applyProtection="1">
      <alignment horizontal="center" vertical="center"/>
    </xf>
    <xf numFmtId="0" fontId="1" fillId="3" borderId="0" xfId="0" applyFont="1"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1" fillId="3" borderId="7" xfId="0" applyFont="1" applyFill="1" applyBorder="1" applyAlignment="1">
      <alignment horizontal="center" vertical="center"/>
    </xf>
    <xf numFmtId="0" fontId="1" fillId="3" borderId="8" xfId="0" applyFont="1" applyFill="1" applyBorder="1" applyAlignment="1">
      <alignment horizontal="center" vertical="center"/>
    </xf>
    <xf numFmtId="0" fontId="1" fillId="3" borderId="5" xfId="0" applyFont="1" applyFill="1" applyBorder="1" applyAlignment="1">
      <alignment vertical="center"/>
    </xf>
    <xf numFmtId="0" fontId="1" fillId="3" borderId="6" xfId="0" applyFont="1" applyFill="1" applyBorder="1" applyAlignment="1">
      <alignment vertical="center"/>
    </xf>
    <xf numFmtId="0" fontId="0" fillId="0" borderId="0" xfId="0" applyFill="1"/>
    <xf numFmtId="0" fontId="5" fillId="4" borderId="4" xfId="0" applyFont="1" applyFill="1" applyBorder="1" applyAlignment="1" applyProtection="1">
      <alignment horizontal="right" vertical="center"/>
    </xf>
    <xf numFmtId="0" fontId="5" fillId="4" borderId="6" xfId="0" applyFont="1" applyFill="1" applyBorder="1" applyAlignment="1" applyProtection="1">
      <alignment vertical="center"/>
    </xf>
    <xf numFmtId="0" fontId="5" fillId="4" borderId="7" xfId="0" applyFont="1" applyFill="1" applyBorder="1" applyAlignment="1" applyProtection="1">
      <alignment horizontal="right" vertical="center"/>
    </xf>
    <xf numFmtId="0" fontId="5" fillId="4" borderId="8" xfId="0" applyFont="1" applyFill="1" applyBorder="1" applyAlignment="1" applyProtection="1">
      <alignment vertical="center"/>
    </xf>
    <xf numFmtId="0" fontId="5" fillId="4" borderId="7" xfId="0" applyFont="1" applyFill="1" applyBorder="1" applyAlignment="1" applyProtection="1">
      <alignment horizontal="left" vertical="center"/>
    </xf>
    <xf numFmtId="0" fontId="7" fillId="4" borderId="7" xfId="0" applyFont="1" applyFill="1" applyBorder="1" applyAlignment="1" applyProtection="1">
      <alignment horizontal="right" vertical="center"/>
    </xf>
    <xf numFmtId="49" fontId="5" fillId="4" borderId="0" xfId="0" applyNumberFormat="1" applyFont="1" applyFill="1" applyBorder="1" applyAlignment="1" applyProtection="1">
      <alignment horizontal="center" vertical="center"/>
    </xf>
    <xf numFmtId="37" fontId="5" fillId="4" borderId="0" xfId="1" applyNumberFormat="1" applyFont="1" applyFill="1" applyBorder="1" applyAlignment="1" applyProtection="1">
      <alignment horizontal="center" vertical="center"/>
    </xf>
    <xf numFmtId="43" fontId="5" fillId="4" borderId="0" xfId="1" applyFont="1" applyFill="1" applyBorder="1" applyAlignment="1" applyProtection="1">
      <alignment horizontal="left" vertical="center"/>
    </xf>
    <xf numFmtId="43" fontId="5" fillId="4" borderId="0" xfId="1" applyFont="1" applyFill="1" applyBorder="1" applyAlignment="1" applyProtection="1">
      <alignment horizontal="center" vertical="center"/>
    </xf>
    <xf numFmtId="0" fontId="5" fillId="4" borderId="9" xfId="0" applyFont="1" applyFill="1" applyBorder="1" applyAlignment="1" applyProtection="1">
      <alignment horizontal="right" vertical="center"/>
    </xf>
    <xf numFmtId="0" fontId="5" fillId="4" borderId="11" xfId="0" applyFont="1" applyFill="1" applyBorder="1" applyAlignment="1" applyProtection="1">
      <alignment vertical="center"/>
    </xf>
    <xf numFmtId="0" fontId="5" fillId="4" borderId="0" xfId="0" applyFont="1" applyFill="1" applyAlignment="1" applyProtection="1">
      <alignment horizontal="center" vertical="center"/>
    </xf>
    <xf numFmtId="0" fontId="5" fillId="4" borderId="0" xfId="0" applyFont="1" applyFill="1" applyAlignment="1" applyProtection="1">
      <alignment vertical="center"/>
    </xf>
    <xf numFmtId="0" fontId="5" fillId="4" borderId="0" xfId="0" applyFont="1" applyFill="1" applyAlignment="1" applyProtection="1">
      <alignment horizontal="right" vertical="center"/>
    </xf>
    <xf numFmtId="0" fontId="5" fillId="4" borderId="0" xfId="0" applyFont="1" applyFill="1" applyAlignment="1" applyProtection="1">
      <alignment horizontal="left" vertical="center"/>
    </xf>
    <xf numFmtId="0" fontId="7" fillId="4" borderId="0" xfId="0" applyFont="1" applyFill="1" applyBorder="1" applyAlignment="1" applyProtection="1">
      <alignment horizontal="right" vertical="center"/>
    </xf>
    <xf numFmtId="0" fontId="5" fillId="4" borderId="0" xfId="0" applyFont="1" applyFill="1" applyBorder="1" applyAlignment="1" applyProtection="1">
      <alignment horizontal="center" vertical="center"/>
    </xf>
    <xf numFmtId="0" fontId="0" fillId="4" borderId="0" xfId="0" applyFill="1" applyAlignment="1">
      <alignment vertical="center"/>
    </xf>
    <xf numFmtId="0" fontId="3" fillId="4" borderId="19" xfId="0" applyFont="1" applyFill="1" applyBorder="1" applyAlignment="1">
      <alignment horizontal="center" vertical="center"/>
    </xf>
    <xf numFmtId="0" fontId="0" fillId="4" borderId="0" xfId="0" applyFill="1" applyAlignment="1">
      <alignment horizontal="left" vertical="center" wrapText="1"/>
    </xf>
    <xf numFmtId="0" fontId="5" fillId="4" borderId="0" xfId="0" applyFont="1" applyFill="1" applyBorder="1" applyAlignment="1" applyProtection="1">
      <alignment horizontal="center" vertical="center"/>
    </xf>
    <xf numFmtId="0" fontId="0" fillId="0" borderId="0" xfId="0" applyFont="1" applyAlignment="1">
      <alignment vertical="top"/>
    </xf>
    <xf numFmtId="0" fontId="0" fillId="0" borderId="0" xfId="0" applyFont="1"/>
    <xf numFmtId="0" fontId="3" fillId="4" borderId="0" xfId="0" applyFont="1" applyFill="1" applyAlignment="1">
      <alignment vertical="center"/>
    </xf>
    <xf numFmtId="0" fontId="0" fillId="4" borderId="0" xfId="0" applyFont="1" applyFill="1" applyAlignment="1">
      <alignment vertical="top"/>
    </xf>
    <xf numFmtId="0" fontId="0" fillId="4" borderId="0" xfId="0" applyFont="1" applyFill="1"/>
    <xf numFmtId="0" fontId="0" fillId="4" borderId="0" xfId="0" applyFont="1" applyFill="1" applyAlignment="1">
      <alignment vertical="center"/>
    </xf>
    <xf numFmtId="0" fontId="11" fillId="4" borderId="0" xfId="0" applyFont="1" applyFill="1" applyAlignment="1">
      <alignment horizontal="left" vertical="center" indent="2"/>
    </xf>
    <xf numFmtId="0" fontId="2" fillId="4" borderId="0" xfId="0" applyFont="1" applyFill="1" applyAlignment="1">
      <alignment vertical="center"/>
    </xf>
    <xf numFmtId="0" fontId="0" fillId="4" borderId="0" xfId="0" applyFont="1" applyFill="1" applyAlignment="1">
      <alignment horizontal="left" vertical="center" indent="2"/>
    </xf>
    <xf numFmtId="0" fontId="0" fillId="4" borderId="0" xfId="0" applyFont="1" applyFill="1" applyAlignment="1">
      <alignment horizontal="left" vertical="center" indent="1"/>
    </xf>
    <xf numFmtId="0" fontId="2" fillId="4" borderId="0" xfId="0" applyFont="1" applyFill="1" applyAlignment="1">
      <alignment horizontal="left" vertical="center" indent="1"/>
    </xf>
    <xf numFmtId="0" fontId="15" fillId="4" borderId="1" xfId="0" applyFont="1" applyFill="1" applyBorder="1" applyAlignment="1" applyProtection="1">
      <alignment horizontal="center" vertical="center"/>
    </xf>
    <xf numFmtId="0" fontId="15" fillId="4" borderId="2" xfId="0" applyFont="1" applyFill="1" applyBorder="1" applyAlignment="1" applyProtection="1">
      <alignment horizontal="center" vertical="center"/>
    </xf>
    <xf numFmtId="0" fontId="15" fillId="4" borderId="3" xfId="0" applyFont="1" applyFill="1" applyBorder="1" applyAlignment="1" applyProtection="1">
      <alignment horizontal="center" vertical="center"/>
    </xf>
    <xf numFmtId="0" fontId="5" fillId="0" borderId="0" xfId="0" applyFont="1" applyAlignment="1" applyProtection="1">
      <alignment horizontal="left" vertical="center"/>
    </xf>
    <xf numFmtId="0" fontId="7" fillId="4" borderId="0"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5" fillId="4" borderId="1" xfId="0" applyFont="1" applyFill="1" applyBorder="1" applyAlignment="1" applyProtection="1">
      <alignment horizontal="left" vertical="center"/>
    </xf>
    <xf numFmtId="0" fontId="5" fillId="4" borderId="2" xfId="0" applyFont="1" applyFill="1" applyBorder="1" applyAlignment="1" applyProtection="1">
      <alignment horizontal="left" vertical="center"/>
    </xf>
    <xf numFmtId="0" fontId="5" fillId="4" borderId="3" xfId="0" applyFont="1" applyFill="1" applyBorder="1" applyAlignment="1" applyProtection="1">
      <alignment horizontal="left" vertical="center"/>
    </xf>
    <xf numFmtId="0" fontId="5" fillId="4" borderId="1" xfId="0" applyFont="1" applyFill="1" applyBorder="1" applyAlignment="1" applyProtection="1">
      <alignment vertical="center"/>
    </xf>
    <xf numFmtId="0" fontId="5" fillId="4" borderId="2" xfId="0" applyFont="1" applyFill="1" applyBorder="1" applyAlignment="1" applyProtection="1">
      <alignment vertical="center"/>
    </xf>
    <xf numFmtId="0" fontId="5" fillId="4" borderId="3" xfId="0" applyFont="1" applyFill="1" applyBorder="1" applyAlignment="1" applyProtection="1">
      <alignment vertical="center"/>
    </xf>
    <xf numFmtId="0" fontId="5" fillId="4" borderId="0" xfId="0" applyFont="1" applyFill="1" applyBorder="1" applyAlignment="1" applyProtection="1">
      <alignment horizontal="center" vertical="center"/>
    </xf>
    <xf numFmtId="0" fontId="5" fillId="4" borderId="1" xfId="0" applyFont="1" applyFill="1" applyBorder="1" applyAlignment="1" applyProtection="1">
      <alignment horizontal="center" vertical="center"/>
    </xf>
    <xf numFmtId="0" fontId="5" fillId="4" borderId="2" xfId="0" applyFont="1" applyFill="1" applyBorder="1" applyAlignment="1" applyProtection="1">
      <alignment horizontal="center" vertical="center"/>
    </xf>
    <xf numFmtId="0" fontId="5" fillId="4" borderId="3" xfId="0" applyFont="1" applyFill="1" applyBorder="1" applyAlignment="1" applyProtection="1">
      <alignment horizontal="center" vertical="center"/>
    </xf>
    <xf numFmtId="0" fontId="5" fillId="2" borderId="1" xfId="0" applyNumberFormat="1" applyFont="1" applyFill="1" applyBorder="1" applyAlignment="1" applyProtection="1">
      <alignment horizontal="center" vertical="center"/>
      <protection locked="0"/>
    </xf>
    <xf numFmtId="2" fontId="5" fillId="2" borderId="3" xfId="0" applyNumberFormat="1"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3" fontId="5" fillId="4" borderId="1" xfId="0" applyNumberFormat="1" applyFont="1" applyFill="1" applyBorder="1" applyAlignment="1" applyProtection="1">
      <alignment horizontal="left" vertical="center"/>
    </xf>
    <xf numFmtId="3" fontId="5" fillId="4" borderId="2" xfId="0" applyNumberFormat="1" applyFont="1" applyFill="1" applyBorder="1" applyAlignment="1" applyProtection="1">
      <alignment horizontal="left" vertical="center"/>
    </xf>
    <xf numFmtId="3" fontId="5" fillId="4" borderId="3" xfId="0" applyNumberFormat="1" applyFont="1" applyFill="1" applyBorder="1" applyAlignment="1" applyProtection="1">
      <alignment horizontal="left" vertical="center"/>
    </xf>
    <xf numFmtId="0" fontId="5" fillId="2" borderId="3" xfId="0" applyNumberFormat="1" applyFont="1" applyFill="1" applyBorder="1" applyAlignment="1" applyProtection="1">
      <alignment horizontal="center" vertical="center"/>
      <protection locked="0"/>
    </xf>
    <xf numFmtId="1" fontId="5" fillId="2" borderId="1" xfId="0" applyNumberFormat="1" applyFont="1" applyFill="1" applyBorder="1" applyAlignment="1" applyProtection="1">
      <alignment horizontal="center" vertical="center"/>
      <protection locked="0"/>
    </xf>
    <xf numFmtId="1" fontId="5" fillId="2" borderId="3" xfId="0" applyNumberFormat="1" applyFont="1" applyFill="1" applyBorder="1" applyAlignment="1" applyProtection="1">
      <alignment horizontal="center" vertical="center"/>
      <protection locked="0"/>
    </xf>
    <xf numFmtId="0" fontId="1" fillId="3" borderId="0" xfId="0" applyFont="1" applyFill="1" applyBorder="1" applyAlignment="1" applyProtection="1">
      <alignment horizontal="center" vertical="center"/>
    </xf>
    <xf numFmtId="0" fontId="10"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5" fillId="0" borderId="0"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10" xfId="0" applyFont="1" applyBorder="1" applyAlignment="1" applyProtection="1">
      <alignment horizontal="center" vertical="center" wrapText="1"/>
    </xf>
    <xf numFmtId="0" fontId="5" fillId="0" borderId="11" xfId="0" applyFont="1" applyBorder="1" applyAlignment="1" applyProtection="1">
      <alignment horizontal="center" vertical="center" wrapText="1"/>
    </xf>
    <xf numFmtId="0" fontId="7" fillId="4" borderId="0" xfId="0" applyFont="1" applyFill="1" applyAlignment="1" applyProtection="1">
      <alignment horizontal="right" vertical="center"/>
    </xf>
    <xf numFmtId="0" fontId="0" fillId="0" borderId="0" xfId="0" applyAlignment="1">
      <alignment vertical="center"/>
    </xf>
    <xf numFmtId="0" fontId="1" fillId="3" borderId="20" xfId="0" applyFont="1" applyFill="1" applyBorder="1" applyAlignment="1">
      <alignment horizontal="center" vertical="center"/>
    </xf>
    <xf numFmtId="0" fontId="0" fillId="0" borderId="21" xfId="0" applyBorder="1" applyAlignment="1">
      <alignment vertical="center" wrapText="1"/>
    </xf>
    <xf numFmtId="0" fontId="0" fillId="0" borderId="22" xfId="0" applyBorder="1" applyAlignment="1">
      <alignment vertical="center" wrapText="1"/>
    </xf>
    <xf numFmtId="0" fontId="0" fillId="5" borderId="21" xfId="0" applyFill="1" applyBorder="1" applyAlignment="1">
      <alignment vertical="center" wrapText="1"/>
    </xf>
    <xf numFmtId="0" fontId="0" fillId="4" borderId="0" xfId="0" applyFont="1" applyFill="1" applyAlignment="1">
      <alignment vertical="center" wrapText="1"/>
    </xf>
    <xf numFmtId="0" fontId="0" fillId="0" borderId="0" xfId="0" applyFont="1" applyAlignment="1">
      <alignment wrapText="1"/>
    </xf>
    <xf numFmtId="0" fontId="0" fillId="4" borderId="0" xfId="0" applyFont="1" applyFill="1" applyAlignment="1">
      <alignment horizontal="left" vertical="center" wrapText="1"/>
    </xf>
  </cellXfs>
  <cellStyles count="2">
    <cellStyle name="Comma" xfId="1" builtinId="3"/>
    <cellStyle name="Normal" xfId="0" builtinId="0"/>
  </cellStyles>
  <dxfs count="12">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4" tint="-0.24994659260841701"/>
      </font>
      <fill>
        <patternFill>
          <fgColor auto="1"/>
          <bgColor theme="4"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B43FC-EEDB-D342-AC8C-896B7BE1FEFD}">
  <sheetPr codeName="Sheet1"/>
  <dimension ref="B1:BJ45"/>
  <sheetViews>
    <sheetView tabSelected="1" zoomScaleNormal="100" workbookViewId="0">
      <selection activeCell="U3" sqref="U3:V3"/>
    </sheetView>
  </sheetViews>
  <sheetFormatPr baseColWidth="10" defaultRowHeight="16" x14ac:dyDescent="0.2"/>
  <cols>
    <col min="1" max="1" width="2.83203125" style="22" customWidth="1"/>
    <col min="2" max="12" width="3" style="22" customWidth="1"/>
    <col min="13" max="13" width="3" style="20" customWidth="1"/>
    <col min="14" max="17" width="3" style="21" customWidth="1"/>
    <col min="18" max="21" width="3" style="22" customWidth="1"/>
    <col min="22" max="22" width="3" style="18" customWidth="1"/>
    <col min="23" max="26" width="3" style="22" customWidth="1"/>
    <col min="27" max="33" width="3" style="18" customWidth="1"/>
    <col min="34" max="36" width="3" style="22" customWidth="1"/>
    <col min="37" max="50" width="3" style="18" customWidth="1"/>
    <col min="51" max="51" width="2.83203125" style="18" customWidth="1"/>
    <col min="52" max="52" width="2.83203125" style="21" customWidth="1"/>
    <col min="53" max="53" width="27.83203125" style="22" customWidth="1"/>
    <col min="54" max="54" width="14.83203125" style="18" customWidth="1"/>
    <col min="55" max="55" width="1" style="18" customWidth="1"/>
    <col min="56" max="56" width="12.6640625" style="18" customWidth="1"/>
    <col min="57" max="57" width="1" style="18" customWidth="1"/>
    <col min="58" max="58" width="12.6640625" style="18" customWidth="1"/>
    <col min="59" max="59" width="1" style="18" customWidth="1"/>
    <col min="60" max="60" width="9.1640625" style="18" bestFit="1" customWidth="1"/>
    <col min="61" max="61" width="37" style="21" customWidth="1"/>
    <col min="62" max="62" width="2.83203125" style="22" customWidth="1"/>
    <col min="63" max="16384" width="10.83203125" style="22"/>
  </cols>
  <sheetData>
    <row r="1" spans="2:62" ht="16" customHeight="1" thickBot="1" x14ac:dyDescent="0.25">
      <c r="K1" s="23"/>
      <c r="L1" s="23"/>
      <c r="M1" s="16"/>
      <c r="N1" s="17"/>
      <c r="O1" s="17"/>
      <c r="P1" s="17"/>
      <c r="Q1" s="17"/>
      <c r="R1" s="23"/>
      <c r="S1" s="23"/>
      <c r="T1" s="23"/>
      <c r="U1" s="23"/>
      <c r="V1" s="19"/>
      <c r="W1" s="23"/>
      <c r="X1" s="23"/>
      <c r="Y1" s="23"/>
    </row>
    <row r="2" spans="2:62" ht="16" customHeight="1" thickBot="1" x14ac:dyDescent="0.25">
      <c r="B2" s="25"/>
      <c r="C2" s="26"/>
      <c r="D2" s="26"/>
      <c r="E2" s="26"/>
      <c r="F2" s="26"/>
      <c r="G2" s="26"/>
      <c r="H2" s="26"/>
      <c r="I2" s="26"/>
      <c r="J2" s="26"/>
      <c r="K2" s="26"/>
      <c r="L2" s="26"/>
      <c r="M2" s="26"/>
      <c r="N2" s="27"/>
      <c r="O2" s="28"/>
      <c r="P2" s="28"/>
      <c r="Q2" s="28"/>
      <c r="R2" s="28"/>
      <c r="S2" s="26"/>
      <c r="T2" s="26"/>
      <c r="U2" s="26"/>
      <c r="V2" s="26"/>
      <c r="W2" s="45"/>
      <c r="X2" s="26"/>
      <c r="Y2" s="26"/>
      <c r="Z2" s="26"/>
      <c r="AA2" s="26"/>
      <c r="AB2" s="45"/>
      <c r="AC2" s="45"/>
      <c r="AD2" s="45"/>
      <c r="AE2" s="45"/>
      <c r="AF2" s="45"/>
      <c r="AG2" s="45"/>
      <c r="AH2" s="45"/>
      <c r="AI2" s="26"/>
      <c r="AJ2" s="26"/>
      <c r="AK2" s="26"/>
      <c r="AL2" s="45"/>
      <c r="AM2" s="45"/>
      <c r="AN2" s="45"/>
      <c r="AO2" s="45"/>
      <c r="AP2" s="45"/>
      <c r="AQ2" s="45"/>
      <c r="AR2" s="45"/>
      <c r="AS2" s="45"/>
      <c r="AT2" s="45"/>
      <c r="AU2" s="45"/>
      <c r="AV2" s="45"/>
      <c r="AW2" s="45"/>
      <c r="AX2" s="46"/>
      <c r="AZ2" s="57"/>
      <c r="BA2" s="26"/>
      <c r="BB2" s="45"/>
      <c r="BC2" s="45"/>
      <c r="BD2" s="45"/>
      <c r="BE2" s="45"/>
      <c r="BF2" s="45"/>
      <c r="BG2" s="45"/>
      <c r="BH2" s="45"/>
      <c r="BI2" s="28"/>
      <c r="BJ2" s="58"/>
    </row>
    <row r="3" spans="2:62" ht="17" thickBot="1" x14ac:dyDescent="0.25">
      <c r="B3" s="29"/>
      <c r="C3" s="94" t="s">
        <v>64</v>
      </c>
      <c r="D3" s="94"/>
      <c r="E3" s="94"/>
      <c r="F3" s="94"/>
      <c r="G3" s="94"/>
      <c r="H3" s="95"/>
      <c r="I3" s="106"/>
      <c r="J3" s="113"/>
      <c r="K3" s="63" t="s">
        <v>19</v>
      </c>
      <c r="L3" s="106"/>
      <c r="M3" s="107"/>
      <c r="N3" s="63" t="s">
        <v>19</v>
      </c>
      <c r="O3" s="106"/>
      <c r="P3" s="107"/>
      <c r="Q3" s="63" t="s">
        <v>19</v>
      </c>
      <c r="R3" s="106"/>
      <c r="S3" s="107"/>
      <c r="T3" s="69" t="s">
        <v>65</v>
      </c>
      <c r="U3" s="108"/>
      <c r="V3" s="109"/>
      <c r="W3" s="70"/>
      <c r="X3" s="126" t="s">
        <v>0</v>
      </c>
      <c r="Y3" s="126"/>
      <c r="Z3" s="126"/>
      <c r="AA3" s="126"/>
      <c r="AB3" s="126"/>
      <c r="AC3" s="95"/>
      <c r="AD3" s="114"/>
      <c r="AE3" s="115"/>
      <c r="AF3" s="63" t="s">
        <v>19</v>
      </c>
      <c r="AG3" s="114"/>
      <c r="AH3" s="115"/>
      <c r="AI3" s="63" t="s">
        <v>19</v>
      </c>
      <c r="AJ3" s="114"/>
      <c r="AK3" s="115"/>
      <c r="AL3" s="63" t="s">
        <v>19</v>
      </c>
      <c r="AM3" s="114"/>
      <c r="AN3" s="115"/>
      <c r="AO3" s="69"/>
      <c r="AP3" s="69"/>
      <c r="AQ3" s="69"/>
      <c r="AR3" s="69"/>
      <c r="AS3" s="69"/>
      <c r="AT3" s="69"/>
      <c r="AU3" s="69"/>
      <c r="AV3" s="31"/>
      <c r="AW3" s="31"/>
      <c r="AX3" s="32"/>
      <c r="AZ3" s="59"/>
      <c r="BA3" s="116" t="s">
        <v>78</v>
      </c>
      <c r="BB3" s="116"/>
      <c r="BC3" s="116"/>
      <c r="BD3" s="116"/>
      <c r="BE3" s="116"/>
      <c r="BF3" s="116"/>
      <c r="BG3" s="116"/>
      <c r="BH3" s="116"/>
      <c r="BI3" s="116"/>
      <c r="BJ3" s="60"/>
    </row>
    <row r="4" spans="2:62" ht="17" thickBot="1" x14ac:dyDescent="0.25">
      <c r="B4" s="29"/>
      <c r="C4" s="33"/>
      <c r="D4" s="33"/>
      <c r="E4" s="33"/>
      <c r="F4" s="33"/>
      <c r="G4" s="33"/>
      <c r="H4" s="33"/>
      <c r="I4" s="33"/>
      <c r="J4" s="70"/>
      <c r="K4" s="70"/>
      <c r="L4" s="70"/>
      <c r="M4" s="71"/>
      <c r="N4" s="72"/>
      <c r="O4" s="72"/>
      <c r="P4" s="72"/>
      <c r="Q4" s="72"/>
      <c r="R4" s="70"/>
      <c r="S4" s="70"/>
      <c r="T4" s="70"/>
      <c r="U4" s="70"/>
      <c r="V4" s="69"/>
      <c r="W4" s="70"/>
      <c r="X4" s="33"/>
      <c r="Y4" s="33"/>
      <c r="Z4" s="33"/>
      <c r="AA4" s="33"/>
      <c r="AB4" s="31"/>
      <c r="AC4" s="31"/>
      <c r="AD4" s="69"/>
      <c r="AE4" s="69"/>
      <c r="AF4" s="69"/>
      <c r="AG4" s="69"/>
      <c r="AH4" s="70"/>
      <c r="AI4" s="70"/>
      <c r="AJ4" s="70"/>
      <c r="AK4" s="69"/>
      <c r="AL4" s="69"/>
      <c r="AM4" s="69"/>
      <c r="AN4" s="69"/>
      <c r="AO4" s="31"/>
      <c r="AP4" s="31"/>
      <c r="AQ4" s="31"/>
      <c r="AR4" s="31"/>
      <c r="AS4" s="31"/>
      <c r="AT4" s="31"/>
      <c r="AU4" s="31"/>
      <c r="AV4" s="31"/>
      <c r="AW4" s="31"/>
      <c r="AX4" s="32"/>
      <c r="AY4" s="19"/>
      <c r="AZ4" s="61"/>
      <c r="BA4" s="34"/>
      <c r="BB4" s="35" t="s">
        <v>8</v>
      </c>
      <c r="BC4" s="35"/>
      <c r="BD4" s="35" t="s">
        <v>9</v>
      </c>
      <c r="BE4" s="35"/>
      <c r="BF4" s="35" t="s">
        <v>10</v>
      </c>
      <c r="BG4" s="35"/>
      <c r="BH4" s="35" t="s">
        <v>11</v>
      </c>
      <c r="BI4" s="34"/>
      <c r="BJ4" s="60"/>
    </row>
    <row r="5" spans="2:62" ht="17" thickBot="1" x14ac:dyDescent="0.25">
      <c r="B5" s="29"/>
      <c r="C5" s="94" t="s">
        <v>75</v>
      </c>
      <c r="D5" s="94"/>
      <c r="E5" s="94"/>
      <c r="F5" s="94"/>
      <c r="G5" s="94"/>
      <c r="H5" s="94"/>
      <c r="I5" s="94"/>
      <c r="J5" s="94"/>
      <c r="K5" s="94"/>
      <c r="L5" s="94"/>
      <c r="M5" s="94"/>
      <c r="N5" s="95"/>
      <c r="O5" s="96" t="str">
        <f>IF(ISBLANK(I3), "", IF(BI30, IF(BB38,BI11,BI8), ""))</f>
        <v/>
      </c>
      <c r="P5" s="97"/>
      <c r="Q5" s="97"/>
      <c r="R5" s="97"/>
      <c r="S5" s="97"/>
      <c r="T5" s="97"/>
      <c r="U5" s="97"/>
      <c r="V5" s="98"/>
      <c r="W5" s="31"/>
      <c r="X5" s="94" t="s">
        <v>67</v>
      </c>
      <c r="Y5" s="94"/>
      <c r="Z5" s="94"/>
      <c r="AA5" s="94"/>
      <c r="AB5" s="94"/>
      <c r="AC5" s="94"/>
      <c r="AD5" s="96">
        <f>IF(ISBLANK(I3), 0, IF(BI30, IF(U3="", IF(ISNUMBER(FIND("0",BI9)),FIND("0",BI9)-1,32), U3), ""))</f>
        <v>0</v>
      </c>
      <c r="AE5" s="97"/>
      <c r="AF5" s="97"/>
      <c r="AG5" s="97"/>
      <c r="AH5" s="97"/>
      <c r="AI5" s="97"/>
      <c r="AJ5" s="97"/>
      <c r="AK5" s="97"/>
      <c r="AL5" s="97"/>
      <c r="AM5" s="97"/>
      <c r="AN5" s="98"/>
      <c r="AO5" s="31"/>
      <c r="AP5" s="31"/>
      <c r="AQ5" s="31"/>
      <c r="AR5" s="31"/>
      <c r="AS5" s="31"/>
      <c r="AT5" s="31"/>
      <c r="AU5" s="31"/>
      <c r="AV5" s="31"/>
      <c r="AW5" s="31"/>
      <c r="AX5" s="32"/>
      <c r="AZ5" s="61"/>
      <c r="BA5" s="44" t="s">
        <v>64</v>
      </c>
      <c r="BB5" s="31">
        <f>I3</f>
        <v>0</v>
      </c>
      <c r="BC5" s="31" t="s">
        <v>19</v>
      </c>
      <c r="BD5" s="31">
        <f>L3</f>
        <v>0</v>
      </c>
      <c r="BE5" s="31" t="s">
        <v>19</v>
      </c>
      <c r="BF5" s="31">
        <f>O3</f>
        <v>0</v>
      </c>
      <c r="BG5" s="31" t="s">
        <v>19</v>
      </c>
      <c r="BH5" s="31">
        <f>R3</f>
        <v>0</v>
      </c>
      <c r="BI5" s="34" t="str">
        <f>CONCATENATE(BB5,".",BD5,".",BF5,".",BH5)</f>
        <v>0.0.0.0</v>
      </c>
      <c r="BJ5" s="60"/>
    </row>
    <row r="6" spans="2:62" ht="17" thickBot="1" x14ac:dyDescent="0.25">
      <c r="B6" s="29"/>
      <c r="C6" s="33"/>
      <c r="D6" s="33"/>
      <c r="E6" s="33"/>
      <c r="F6" s="33"/>
      <c r="G6" s="33"/>
      <c r="H6" s="33"/>
      <c r="I6" s="33"/>
      <c r="J6" s="33"/>
      <c r="K6" s="33"/>
      <c r="L6" s="33"/>
      <c r="M6" s="33"/>
      <c r="N6" s="44"/>
      <c r="O6" s="34"/>
      <c r="P6" s="34"/>
      <c r="Q6" s="34"/>
      <c r="R6" s="34"/>
      <c r="S6" s="44"/>
      <c r="T6" s="34"/>
      <c r="U6" s="34"/>
      <c r="V6" s="34"/>
      <c r="W6" s="31"/>
      <c r="X6" s="33"/>
      <c r="Y6" s="33"/>
      <c r="Z6" s="44"/>
      <c r="AA6" s="33"/>
      <c r="AB6" s="31"/>
      <c r="AC6" s="31"/>
      <c r="AD6" s="31"/>
      <c r="AE6" s="31"/>
      <c r="AF6" s="31"/>
      <c r="AG6" s="31"/>
      <c r="AH6" s="31"/>
      <c r="AI6" s="33"/>
      <c r="AJ6" s="33"/>
      <c r="AK6" s="33"/>
      <c r="AL6" s="31"/>
      <c r="AM6" s="31"/>
      <c r="AN6" s="31"/>
      <c r="AO6" s="31"/>
      <c r="AP6" s="31"/>
      <c r="AQ6" s="31"/>
      <c r="AR6" s="31"/>
      <c r="AS6" s="31"/>
      <c r="AT6" s="31"/>
      <c r="AU6" s="31"/>
      <c r="AV6" s="31"/>
      <c r="AW6" s="31"/>
      <c r="AX6" s="32"/>
      <c r="AZ6" s="62"/>
      <c r="BA6" s="44" t="s">
        <v>63</v>
      </c>
      <c r="BB6" s="31" t="str">
        <f>DEC2BIN(BB5,8)</f>
        <v>00000000</v>
      </c>
      <c r="BC6" s="31" t="s">
        <v>19</v>
      </c>
      <c r="BD6" s="31" t="str">
        <f t="shared" ref="BD6:BH6" si="0">DEC2BIN(BD5,8)</f>
        <v>00000000</v>
      </c>
      <c r="BE6" s="31" t="s">
        <v>19</v>
      </c>
      <c r="BF6" s="31" t="str">
        <f t="shared" si="0"/>
        <v>00000000</v>
      </c>
      <c r="BG6" s="31" t="s">
        <v>19</v>
      </c>
      <c r="BH6" s="31" t="str">
        <f t="shared" si="0"/>
        <v>00000000</v>
      </c>
      <c r="BI6" s="34" t="str">
        <f>CONCATENATE(BB6,BD6,BF6,BH6)</f>
        <v>00000000000000000000000000000000</v>
      </c>
      <c r="BJ6" s="60"/>
    </row>
    <row r="7" spans="2:62" ht="17" thickBot="1" x14ac:dyDescent="0.25">
      <c r="B7" s="29"/>
      <c r="C7" s="94" t="s">
        <v>4</v>
      </c>
      <c r="D7" s="94"/>
      <c r="E7" s="94"/>
      <c r="F7" s="94"/>
      <c r="G7" s="94"/>
      <c r="H7" s="94"/>
      <c r="I7" s="94"/>
      <c r="J7" s="94"/>
      <c r="K7" s="94"/>
      <c r="L7" s="94"/>
      <c r="M7" s="94"/>
      <c r="N7" s="95"/>
      <c r="O7" s="96" t="str">
        <f>IF(ISBLANK(I3), "", IF(BI30,CONCATENATE(BB14, ".", BD14, ".", BF14, ".", BH14),""))</f>
        <v/>
      </c>
      <c r="P7" s="97"/>
      <c r="Q7" s="97"/>
      <c r="R7" s="97"/>
      <c r="S7" s="97"/>
      <c r="T7" s="97"/>
      <c r="U7" s="97"/>
      <c r="V7" s="98"/>
      <c r="W7" s="31"/>
      <c r="X7" s="33"/>
      <c r="Y7" s="33"/>
      <c r="Z7" s="33"/>
      <c r="AA7" s="33"/>
      <c r="AB7" s="78"/>
      <c r="AC7" s="78"/>
      <c r="AD7" s="78"/>
      <c r="AE7" s="78"/>
      <c r="AF7" s="78"/>
      <c r="AG7" s="102"/>
      <c r="AH7" s="102"/>
      <c r="AI7" s="102"/>
      <c r="AJ7" s="102"/>
      <c r="AK7" s="102"/>
      <c r="AL7" s="102"/>
      <c r="AM7" s="102"/>
      <c r="AN7" s="102"/>
      <c r="AO7" s="78"/>
      <c r="AP7" s="78"/>
      <c r="AQ7" s="78"/>
      <c r="AR7" s="78"/>
      <c r="AS7" s="78"/>
      <c r="AT7" s="31"/>
      <c r="AU7" s="31"/>
      <c r="AV7" s="31"/>
      <c r="AW7" s="31"/>
      <c r="AX7" s="32"/>
      <c r="AZ7" s="61"/>
      <c r="BA7" s="34"/>
      <c r="BB7" s="31"/>
      <c r="BC7" s="31"/>
      <c r="BD7" s="31"/>
      <c r="BE7" s="31"/>
      <c r="BF7" s="31"/>
      <c r="BG7" s="31"/>
      <c r="BH7" s="31"/>
      <c r="BI7" s="34"/>
      <c r="BJ7" s="60"/>
    </row>
    <row r="8" spans="2:62" ht="17" thickBot="1" x14ac:dyDescent="0.25">
      <c r="B8" s="29"/>
      <c r="C8" s="33"/>
      <c r="D8" s="33"/>
      <c r="E8" s="33"/>
      <c r="F8" s="33"/>
      <c r="G8" s="33"/>
      <c r="H8" s="33"/>
      <c r="I8" s="33"/>
      <c r="J8" s="33"/>
      <c r="K8" s="33"/>
      <c r="L8" s="33"/>
      <c r="M8" s="33"/>
      <c r="N8" s="44"/>
      <c r="O8" s="34"/>
      <c r="P8" s="34"/>
      <c r="Q8" s="34"/>
      <c r="R8" s="34"/>
      <c r="S8" s="33"/>
      <c r="T8" s="33"/>
      <c r="U8" s="33"/>
      <c r="V8" s="33"/>
      <c r="W8" s="31"/>
      <c r="X8" s="70"/>
      <c r="Y8" s="70"/>
      <c r="Z8" s="70"/>
      <c r="AA8" s="78"/>
      <c r="AB8" s="78"/>
      <c r="AC8" s="78"/>
      <c r="AD8" s="78"/>
      <c r="AE8" s="78"/>
      <c r="AF8" s="78"/>
      <c r="AG8" s="102"/>
      <c r="AH8" s="102"/>
      <c r="AI8" s="102"/>
      <c r="AJ8" s="102"/>
      <c r="AK8" s="102"/>
      <c r="AL8" s="102"/>
      <c r="AM8" s="102"/>
      <c r="AN8" s="102"/>
      <c r="AO8" s="78"/>
      <c r="AP8" s="78"/>
      <c r="AQ8" s="78"/>
      <c r="AR8" s="78"/>
      <c r="AS8" s="78"/>
      <c r="AT8" s="31"/>
      <c r="AU8" s="31"/>
      <c r="AV8" s="31"/>
      <c r="AW8" s="31"/>
      <c r="AX8" s="32"/>
      <c r="AZ8" s="61"/>
      <c r="BA8" s="44" t="s">
        <v>0</v>
      </c>
      <c r="BB8" s="63">
        <f>AD3</f>
        <v>0</v>
      </c>
      <c r="BC8" s="31" t="s">
        <v>19</v>
      </c>
      <c r="BD8" s="63">
        <f>AG3</f>
        <v>0</v>
      </c>
      <c r="BE8" s="31" t="s">
        <v>19</v>
      </c>
      <c r="BF8" s="63">
        <f>AJ3</f>
        <v>0</v>
      </c>
      <c r="BG8" s="31" t="s">
        <v>19</v>
      </c>
      <c r="BH8" s="63">
        <f>AM3</f>
        <v>0</v>
      </c>
      <c r="BI8" s="34" t="str">
        <f t="shared" ref="BI8" si="1">CONCATENATE(BB8,".",BD8,".",BF8,".",BH8)</f>
        <v>0.0.0.0</v>
      </c>
      <c r="BJ8" s="60"/>
    </row>
    <row r="9" spans="2:62" ht="17" thickBot="1" x14ac:dyDescent="0.25">
      <c r="B9" s="29"/>
      <c r="C9" s="94" t="s">
        <v>5</v>
      </c>
      <c r="D9" s="94"/>
      <c r="E9" s="94"/>
      <c r="F9" s="94"/>
      <c r="G9" s="94"/>
      <c r="H9" s="94"/>
      <c r="I9" s="94"/>
      <c r="J9" s="94"/>
      <c r="K9" s="94"/>
      <c r="L9" s="94"/>
      <c r="M9" s="94"/>
      <c r="N9" s="95"/>
      <c r="O9" s="110" t="str">
        <f>IF(ISBLANK(I3), "", BB17)</f>
        <v/>
      </c>
      <c r="P9" s="111"/>
      <c r="Q9" s="111"/>
      <c r="R9" s="111"/>
      <c r="S9" s="111"/>
      <c r="T9" s="111"/>
      <c r="U9" s="111"/>
      <c r="V9" s="112"/>
      <c r="W9" s="31"/>
      <c r="X9" s="70"/>
      <c r="Y9" s="70"/>
      <c r="Z9" s="70"/>
      <c r="AA9" s="78"/>
      <c r="AB9" s="78"/>
      <c r="AC9" s="78"/>
      <c r="AD9" s="78"/>
      <c r="AE9" s="78"/>
      <c r="AF9" s="78"/>
      <c r="AG9" s="102"/>
      <c r="AH9" s="102"/>
      <c r="AI9" s="102"/>
      <c r="AJ9" s="102"/>
      <c r="AK9" s="102"/>
      <c r="AL9" s="102"/>
      <c r="AM9" s="102"/>
      <c r="AN9" s="102"/>
      <c r="AO9" s="78"/>
      <c r="AP9" s="78"/>
      <c r="AQ9" s="78"/>
      <c r="AR9" s="78"/>
      <c r="AS9" s="78"/>
      <c r="AT9" s="31"/>
      <c r="AU9" s="31"/>
      <c r="AV9" s="31"/>
      <c r="AW9" s="31"/>
      <c r="AX9" s="32"/>
      <c r="AZ9" s="62"/>
      <c r="BA9" s="44" t="s">
        <v>21</v>
      </c>
      <c r="BB9" s="31" t="str">
        <f>DEC2BIN(BB8,8)</f>
        <v>00000000</v>
      </c>
      <c r="BC9" s="31" t="s">
        <v>19</v>
      </c>
      <c r="BD9" s="31" t="str">
        <f>DEC2BIN(BD8,8)</f>
        <v>00000000</v>
      </c>
      <c r="BE9" s="31" t="s">
        <v>19</v>
      </c>
      <c r="BF9" s="31" t="str">
        <f t="shared" ref="BF9:BH9" si="2">DEC2BIN(BF8,8)</f>
        <v>00000000</v>
      </c>
      <c r="BG9" s="31" t="s">
        <v>19</v>
      </c>
      <c r="BH9" s="31" t="str">
        <f t="shared" si="2"/>
        <v>00000000</v>
      </c>
      <c r="BI9" s="34" t="str">
        <f>CONCATENATE(BB9,BD9,BF9,BH9)</f>
        <v>00000000000000000000000000000000</v>
      </c>
      <c r="BJ9" s="60"/>
    </row>
    <row r="10" spans="2:62" ht="17" thickBot="1" x14ac:dyDescent="0.25">
      <c r="B10" s="29"/>
      <c r="C10" s="33"/>
      <c r="D10" s="33"/>
      <c r="E10" s="33"/>
      <c r="F10" s="33"/>
      <c r="G10" s="33"/>
      <c r="H10" s="33"/>
      <c r="I10" s="33"/>
      <c r="J10" s="33"/>
      <c r="K10" s="33"/>
      <c r="L10" s="33"/>
      <c r="M10" s="33"/>
      <c r="N10" s="44"/>
      <c r="O10" s="34"/>
      <c r="P10" s="34"/>
      <c r="Q10" s="34"/>
      <c r="R10" s="34"/>
      <c r="S10" s="33"/>
      <c r="T10" s="33"/>
      <c r="U10" s="33"/>
      <c r="V10" s="33"/>
      <c r="W10" s="31"/>
      <c r="X10" s="33"/>
      <c r="Y10" s="33"/>
      <c r="Z10" s="33"/>
      <c r="AA10" s="33"/>
      <c r="AB10" s="31"/>
      <c r="AC10" s="31"/>
      <c r="AD10" s="31"/>
      <c r="AE10" s="31"/>
      <c r="AF10" s="31"/>
      <c r="AG10" s="31"/>
      <c r="AH10" s="31"/>
      <c r="AI10" s="33"/>
      <c r="AJ10" s="33"/>
      <c r="AK10" s="33"/>
      <c r="AL10" s="31"/>
      <c r="AM10" s="31"/>
      <c r="AN10" s="31"/>
      <c r="AO10" s="31"/>
      <c r="AP10" s="31"/>
      <c r="AQ10" s="31"/>
      <c r="AR10" s="31"/>
      <c r="AS10" s="31"/>
      <c r="AT10" s="31"/>
      <c r="AU10" s="31"/>
      <c r="AV10" s="31"/>
      <c r="AW10" s="31"/>
      <c r="AX10" s="32"/>
      <c r="AZ10" s="62"/>
      <c r="BA10" s="34"/>
      <c r="BB10" s="31"/>
      <c r="BC10" s="31"/>
      <c r="BD10" s="31"/>
      <c r="BE10" s="31"/>
      <c r="BF10" s="31"/>
      <c r="BG10" s="31"/>
      <c r="BH10" s="31"/>
      <c r="BI10" s="34"/>
      <c r="BJ10" s="60"/>
    </row>
    <row r="11" spans="2:62" ht="17" thickBot="1" x14ac:dyDescent="0.25">
      <c r="B11" s="29"/>
      <c r="C11" s="94" t="s">
        <v>62</v>
      </c>
      <c r="D11" s="94"/>
      <c r="E11" s="94"/>
      <c r="F11" s="94"/>
      <c r="G11" s="94"/>
      <c r="H11" s="94"/>
      <c r="I11" s="94"/>
      <c r="J11" s="94"/>
      <c r="K11" s="94"/>
      <c r="L11" s="94"/>
      <c r="M11" s="94"/>
      <c r="N11" s="95"/>
      <c r="O11" s="96" t="str">
        <f>IF(ISBLANK(I3), "", IF(BI30,CONCATENATE(BB19, ".", BD19, ".", BF19, ".", BH19),""))</f>
        <v/>
      </c>
      <c r="P11" s="97"/>
      <c r="Q11" s="97"/>
      <c r="R11" s="97"/>
      <c r="S11" s="97"/>
      <c r="T11" s="97"/>
      <c r="U11" s="97"/>
      <c r="V11" s="98"/>
      <c r="W11" s="31"/>
      <c r="X11" s="94" t="s">
        <v>20</v>
      </c>
      <c r="Y11" s="94"/>
      <c r="Z11" s="94"/>
      <c r="AA11" s="94"/>
      <c r="AB11" s="94"/>
      <c r="AC11" s="94"/>
      <c r="AD11" s="94"/>
      <c r="AE11" s="94"/>
      <c r="AF11" s="31"/>
      <c r="AG11" s="103" t="str">
        <f>IF(BB38, "CLASSLESS ADDRESS", IF(VALUE(BB5) = 0, "", IF(OR(VALUE(BB5) = 1, VALUE(BB5) &lt;= 126), "CLASS A", IF(VALUE(BB5) = 127, "RESERVED", IF(AND(VALUE(BB5) &gt;= 128, VALUE(BB5) &lt;= 191), "CLASS B", IF(AND(VALUE(BB5) &gt;= 192, VALUE(BB5) &lt;= 223), "CLASS C", IF(AND(VALUE(BB5) &gt;= 224, VALUE(BB5) &lt;= 239), "CLASS D", IF(AND(VALUE(BB5) &gt;= 240, VALUE(BB5) &lt;= 255), "CLASS E", ""))))))))</f>
        <v/>
      </c>
      <c r="AH11" s="104"/>
      <c r="AI11" s="104"/>
      <c r="AJ11" s="104"/>
      <c r="AK11" s="104"/>
      <c r="AL11" s="104"/>
      <c r="AM11" s="104"/>
      <c r="AN11" s="105"/>
      <c r="AO11" s="31"/>
      <c r="AP11" s="31"/>
      <c r="AQ11" s="31"/>
      <c r="AR11" s="31"/>
      <c r="AS11" s="31"/>
      <c r="AT11" s="31"/>
      <c r="AU11" s="31"/>
      <c r="AV11" s="31"/>
      <c r="AW11" s="31"/>
      <c r="AX11" s="32"/>
      <c r="AZ11" s="62"/>
      <c r="BA11" s="44" t="s">
        <v>76</v>
      </c>
      <c r="BB11" s="31">
        <f>BIN2DEC(MID(REPT("1",U3)&amp;REPT("0",32-U3),1,8))</f>
        <v>0</v>
      </c>
      <c r="BC11" s="31">
        <f>V3-(V3-8)</f>
        <v>8</v>
      </c>
      <c r="BD11" s="31">
        <f>BIN2DEC(MID(REPT("1",U3)&amp;REPT("0",32-U3),9,8))</f>
        <v>0</v>
      </c>
      <c r="BE11" s="31" t="s">
        <v>19</v>
      </c>
      <c r="BF11" s="31">
        <f>BIN2DEC(MID(REPT("1",U3)&amp;REPT("0",32-U3),17,8))</f>
        <v>0</v>
      </c>
      <c r="BG11" s="31">
        <f>Z3-(Z3-8)</f>
        <v>8</v>
      </c>
      <c r="BH11" s="31">
        <f>BIN2DEC(MID(REPT("1",U3)&amp;REPT("0",32-U3),25,8))</f>
        <v>0</v>
      </c>
      <c r="BI11" s="34" t="str">
        <f>CONCATENATE(BB11,".",BD11,".",BF11,".",BH11)</f>
        <v>0.0.0.0</v>
      </c>
      <c r="BJ11" s="60"/>
    </row>
    <row r="12" spans="2:62" ht="17" thickBot="1" x14ac:dyDescent="0.25">
      <c r="B12" s="29"/>
      <c r="C12" s="33"/>
      <c r="D12" s="33"/>
      <c r="E12" s="33"/>
      <c r="F12" s="33"/>
      <c r="G12" s="33"/>
      <c r="H12" s="33"/>
      <c r="I12" s="33"/>
      <c r="J12" s="33"/>
      <c r="K12" s="33"/>
      <c r="L12" s="33"/>
      <c r="M12" s="33"/>
      <c r="N12" s="44"/>
      <c r="O12" s="34"/>
      <c r="P12" s="34"/>
      <c r="Q12" s="34"/>
      <c r="R12" s="34"/>
      <c r="S12" s="33"/>
      <c r="T12" s="33"/>
      <c r="U12" s="33"/>
      <c r="V12" s="33"/>
      <c r="W12" s="31"/>
      <c r="X12" s="33"/>
      <c r="Y12" s="33"/>
      <c r="Z12" s="33"/>
      <c r="AA12" s="33"/>
      <c r="AB12" s="31"/>
      <c r="AC12" s="31"/>
      <c r="AD12" s="31"/>
      <c r="AE12" s="31"/>
      <c r="AF12" s="31"/>
      <c r="AG12" s="31"/>
      <c r="AH12" s="31"/>
      <c r="AI12" s="33"/>
      <c r="AJ12" s="33"/>
      <c r="AK12" s="33"/>
      <c r="AL12" s="31"/>
      <c r="AM12" s="31"/>
      <c r="AN12" s="31"/>
      <c r="AO12" s="31"/>
      <c r="AP12" s="31"/>
      <c r="AQ12" s="31"/>
      <c r="AR12" s="31"/>
      <c r="AS12" s="31"/>
      <c r="AT12" s="31"/>
      <c r="AU12" s="31"/>
      <c r="AV12" s="31"/>
      <c r="AW12" s="31"/>
      <c r="AX12" s="32"/>
      <c r="AZ12" s="62"/>
      <c r="BA12" s="44" t="s">
        <v>77</v>
      </c>
      <c r="BB12" s="31" t="str">
        <f>DEC2BIN(BB11,8)</f>
        <v>00000000</v>
      </c>
      <c r="BC12" s="31" t="s">
        <v>19</v>
      </c>
      <c r="BD12" s="31" t="str">
        <f t="shared" ref="BD12:BH12" si="3">DEC2BIN(BD11,8)</f>
        <v>00000000</v>
      </c>
      <c r="BE12" s="31" t="s">
        <v>19</v>
      </c>
      <c r="BF12" s="31" t="str">
        <f t="shared" si="3"/>
        <v>00000000</v>
      </c>
      <c r="BG12" s="31" t="s">
        <v>19</v>
      </c>
      <c r="BH12" s="31" t="str">
        <f t="shared" si="3"/>
        <v>00000000</v>
      </c>
      <c r="BI12" s="34" t="str">
        <f t="shared" ref="BI12" si="4">CONCATENATE(BB12,BD12,BF12,BH12)</f>
        <v>00000000000000000000000000000000</v>
      </c>
      <c r="BJ12" s="60"/>
    </row>
    <row r="13" spans="2:62" ht="17" thickBot="1" x14ac:dyDescent="0.25">
      <c r="B13" s="29"/>
      <c r="C13" s="94" t="s">
        <v>1</v>
      </c>
      <c r="D13" s="94"/>
      <c r="E13" s="94"/>
      <c r="F13" s="94"/>
      <c r="G13" s="94"/>
      <c r="H13" s="94"/>
      <c r="I13" s="94"/>
      <c r="J13" s="94"/>
      <c r="K13" s="94"/>
      <c r="L13" s="94"/>
      <c r="M13" s="94"/>
      <c r="N13" s="95"/>
      <c r="O13" s="96" t="str">
        <f>IF(ISBLANK(I3), "", BI22)</f>
        <v/>
      </c>
      <c r="P13" s="97"/>
      <c r="Q13" s="97"/>
      <c r="R13" s="97"/>
      <c r="S13" s="97"/>
      <c r="T13" s="97"/>
      <c r="U13" s="97"/>
      <c r="V13" s="98"/>
      <c r="W13" s="31"/>
      <c r="X13" s="94" t="s">
        <v>22</v>
      </c>
      <c r="Y13" s="94"/>
      <c r="Z13" s="94"/>
      <c r="AA13" s="94"/>
      <c r="AB13" s="94"/>
      <c r="AC13" s="94"/>
      <c r="AD13" s="94"/>
      <c r="AE13" s="94"/>
      <c r="AF13" s="36"/>
      <c r="AG13" s="99" t="str">
        <f>IF(ISBLANK(I3), "", IF(OR(BI42,BI41,BI40), TRUE, FALSE))</f>
        <v/>
      </c>
      <c r="AH13" s="100"/>
      <c r="AI13" s="100"/>
      <c r="AJ13" s="100"/>
      <c r="AK13" s="100"/>
      <c r="AL13" s="100"/>
      <c r="AM13" s="100"/>
      <c r="AN13" s="101"/>
      <c r="AO13" s="31"/>
      <c r="AP13" s="31"/>
      <c r="AQ13" s="31"/>
      <c r="AR13" s="31"/>
      <c r="AS13" s="31"/>
      <c r="AT13" s="31"/>
      <c r="AU13" s="31"/>
      <c r="AV13" s="31"/>
      <c r="AW13" s="31"/>
      <c r="AX13" s="32"/>
      <c r="AZ13" s="62"/>
      <c r="BA13" s="34"/>
      <c r="BB13" s="31"/>
      <c r="BC13" s="31"/>
      <c r="BD13" s="31"/>
      <c r="BE13" s="31"/>
      <c r="BF13" s="31"/>
      <c r="BG13" s="31"/>
      <c r="BH13" s="31"/>
      <c r="BI13" s="34"/>
      <c r="BJ13" s="60"/>
    </row>
    <row r="14" spans="2:62" ht="17" thickBot="1" x14ac:dyDescent="0.25">
      <c r="B14" s="29"/>
      <c r="C14" s="33"/>
      <c r="D14" s="33"/>
      <c r="E14" s="33"/>
      <c r="F14" s="33"/>
      <c r="G14" s="33"/>
      <c r="H14" s="33"/>
      <c r="I14" s="33"/>
      <c r="J14" s="33"/>
      <c r="K14" s="33"/>
      <c r="L14" s="33"/>
      <c r="M14" s="33"/>
      <c r="N14" s="44"/>
      <c r="O14" s="34"/>
      <c r="P14" s="34"/>
      <c r="Q14" s="34"/>
      <c r="R14" s="34"/>
      <c r="S14" s="33"/>
      <c r="T14" s="33"/>
      <c r="U14" s="33"/>
      <c r="V14" s="33"/>
      <c r="W14" s="31"/>
      <c r="X14" s="33"/>
      <c r="Y14" s="33"/>
      <c r="Z14" s="33"/>
      <c r="AA14" s="33"/>
      <c r="AB14" s="31"/>
      <c r="AC14" s="31"/>
      <c r="AD14" s="31"/>
      <c r="AE14" s="31"/>
      <c r="AF14" s="31"/>
      <c r="AG14" s="31"/>
      <c r="AH14" s="31"/>
      <c r="AI14" s="33"/>
      <c r="AJ14" s="33"/>
      <c r="AK14" s="33"/>
      <c r="AL14" s="31"/>
      <c r="AM14" s="31"/>
      <c r="AN14" s="31"/>
      <c r="AO14" s="31"/>
      <c r="AP14" s="31"/>
      <c r="AQ14" s="31"/>
      <c r="AR14" s="31"/>
      <c r="AS14" s="31"/>
      <c r="AT14" s="31"/>
      <c r="AU14" s="31"/>
      <c r="AV14" s="31"/>
      <c r="AW14" s="31"/>
      <c r="AX14" s="32"/>
      <c r="AZ14" s="62"/>
      <c r="BA14" s="44" t="s">
        <v>4</v>
      </c>
      <c r="BB14" s="31">
        <f>IF(BB38,255-BB11,255-BB8)</f>
        <v>255</v>
      </c>
      <c r="BC14" s="31" t="s">
        <v>19</v>
      </c>
      <c r="BD14" s="31">
        <f>IF(BB38, 255-BD11, 255-BD8)</f>
        <v>255</v>
      </c>
      <c r="BE14" s="31" t="s">
        <v>19</v>
      </c>
      <c r="BF14" s="31">
        <f>IF(BB38, 255-BF11, 255-BF8)</f>
        <v>255</v>
      </c>
      <c r="BG14" s="31" t="s">
        <v>19</v>
      </c>
      <c r="BH14" s="31">
        <f>IF(BB38, 255-BH11, 255-BH8)</f>
        <v>255</v>
      </c>
      <c r="BI14" s="34" t="str">
        <f>CONCATENATE(BB14,".",BD14,".",BF14,".",BH14)</f>
        <v>255.255.255.255</v>
      </c>
      <c r="BJ14" s="60"/>
    </row>
    <row r="15" spans="2:62" ht="17" thickBot="1" x14ac:dyDescent="0.25">
      <c r="B15" s="29"/>
      <c r="C15" s="94" t="s">
        <v>2</v>
      </c>
      <c r="D15" s="94"/>
      <c r="E15" s="94"/>
      <c r="F15" s="94"/>
      <c r="G15" s="94"/>
      <c r="H15" s="94"/>
      <c r="I15" s="94"/>
      <c r="J15" s="94"/>
      <c r="K15" s="94"/>
      <c r="L15" s="94"/>
      <c r="M15" s="94"/>
      <c r="N15" s="95"/>
      <c r="O15" s="96" t="str">
        <f>IF(ISBLANK(I3), "", BI23)</f>
        <v/>
      </c>
      <c r="P15" s="97"/>
      <c r="Q15" s="97"/>
      <c r="R15" s="97"/>
      <c r="S15" s="97"/>
      <c r="T15" s="97"/>
      <c r="U15" s="97"/>
      <c r="V15" s="98"/>
      <c r="W15" s="31"/>
      <c r="X15" s="33"/>
      <c r="Y15" s="33"/>
      <c r="Z15" s="33"/>
      <c r="AA15" s="33"/>
      <c r="AB15" s="31"/>
      <c r="AC15" s="31"/>
      <c r="AD15" s="31"/>
      <c r="AE15" s="31"/>
      <c r="AF15" s="31"/>
      <c r="AG15" s="31"/>
      <c r="AH15" s="31"/>
      <c r="AI15" s="33"/>
      <c r="AJ15" s="33"/>
      <c r="AK15" s="33"/>
      <c r="AL15" s="31"/>
      <c r="AM15" s="31"/>
      <c r="AN15" s="31"/>
      <c r="AO15" s="31"/>
      <c r="AP15" s="31"/>
      <c r="AQ15" s="31"/>
      <c r="AR15" s="31"/>
      <c r="AS15" s="31"/>
      <c r="AT15" s="31"/>
      <c r="AU15" s="31"/>
      <c r="AV15" s="31"/>
      <c r="AW15" s="31"/>
      <c r="AX15" s="32"/>
      <c r="AZ15" s="62"/>
      <c r="BA15" s="44" t="s">
        <v>66</v>
      </c>
      <c r="BB15" s="31" t="str">
        <f>DEC2BIN(BB14,8)</f>
        <v>11111111</v>
      </c>
      <c r="BC15" s="31" t="s">
        <v>19</v>
      </c>
      <c r="BD15" s="31" t="str">
        <f t="shared" ref="BD15:BH15" si="5">DEC2BIN(BD14,8)</f>
        <v>11111111</v>
      </c>
      <c r="BE15" s="31" t="s">
        <v>19</v>
      </c>
      <c r="BF15" s="31" t="str">
        <f t="shared" si="5"/>
        <v>11111111</v>
      </c>
      <c r="BG15" s="31" t="s">
        <v>19</v>
      </c>
      <c r="BH15" s="31" t="str">
        <f t="shared" si="5"/>
        <v>11111111</v>
      </c>
      <c r="BI15" s="34" t="str">
        <f>CONCATENATE(BB15,BD15,BF15,BH15)</f>
        <v>11111111111111111111111111111111</v>
      </c>
      <c r="BJ15" s="60"/>
    </row>
    <row r="16" spans="2:62" ht="17" thickBot="1" x14ac:dyDescent="0.25">
      <c r="B16" s="29"/>
      <c r="C16" s="33"/>
      <c r="D16" s="33"/>
      <c r="E16" s="33"/>
      <c r="F16" s="33"/>
      <c r="G16" s="33"/>
      <c r="H16" s="33"/>
      <c r="I16" s="33"/>
      <c r="J16" s="33"/>
      <c r="K16" s="33"/>
      <c r="L16" s="33"/>
      <c r="M16" s="33"/>
      <c r="N16" s="44"/>
      <c r="O16" s="34"/>
      <c r="P16" s="34"/>
      <c r="Q16" s="34"/>
      <c r="R16" s="34"/>
      <c r="S16" s="33"/>
      <c r="T16" s="33"/>
      <c r="U16" s="33"/>
      <c r="V16" s="33"/>
      <c r="W16" s="31"/>
      <c r="X16" s="33"/>
      <c r="Y16" s="33"/>
      <c r="Z16" s="33"/>
      <c r="AA16" s="33"/>
      <c r="AB16" s="31"/>
      <c r="AC16" s="31"/>
      <c r="AD16" s="31"/>
      <c r="AE16" s="31"/>
      <c r="AF16" s="31"/>
      <c r="AG16" s="31"/>
      <c r="AH16" s="31"/>
      <c r="AI16" s="33"/>
      <c r="AJ16" s="33"/>
      <c r="AK16" s="33"/>
      <c r="AL16" s="31"/>
      <c r="AM16" s="31"/>
      <c r="AN16" s="31"/>
      <c r="AO16" s="31"/>
      <c r="AP16" s="31"/>
      <c r="AQ16" s="31"/>
      <c r="AR16" s="31"/>
      <c r="AS16" s="31"/>
      <c r="AT16" s="31"/>
      <c r="AU16" s="31"/>
      <c r="AV16" s="31"/>
      <c r="AW16" s="31"/>
      <c r="AX16" s="32"/>
      <c r="AZ16" s="62"/>
      <c r="BA16" s="44"/>
      <c r="BB16" s="31"/>
      <c r="BC16" s="31"/>
      <c r="BD16" s="31"/>
      <c r="BE16" s="31"/>
      <c r="BF16" s="31"/>
      <c r="BG16" s="31"/>
      <c r="BH16" s="31"/>
      <c r="BI16" s="34"/>
      <c r="BJ16" s="60"/>
    </row>
    <row r="17" spans="2:62" ht="17" thickBot="1" x14ac:dyDescent="0.25">
      <c r="B17" s="29"/>
      <c r="C17" s="94" t="s">
        <v>3</v>
      </c>
      <c r="D17" s="94"/>
      <c r="E17" s="94"/>
      <c r="F17" s="94"/>
      <c r="G17" s="94"/>
      <c r="H17" s="94"/>
      <c r="I17" s="94"/>
      <c r="J17" s="94"/>
      <c r="K17" s="94"/>
      <c r="L17" s="94"/>
      <c r="M17" s="94"/>
      <c r="N17" s="95"/>
      <c r="O17" s="96" t="str">
        <f>IF(ISBLANK(I3), "", BI24)</f>
        <v/>
      </c>
      <c r="P17" s="97"/>
      <c r="Q17" s="97"/>
      <c r="R17" s="97"/>
      <c r="S17" s="97"/>
      <c r="T17" s="97"/>
      <c r="U17" s="97"/>
      <c r="V17" s="98"/>
      <c r="W17" s="31"/>
      <c r="X17" s="33"/>
      <c r="Y17" s="33"/>
      <c r="Z17" s="33"/>
      <c r="AA17" s="33"/>
      <c r="AB17" s="31"/>
      <c r="AC17" s="31"/>
      <c r="AD17" s="31"/>
      <c r="AE17" s="31"/>
      <c r="AF17" s="31"/>
      <c r="AG17" s="31"/>
      <c r="AH17" s="31"/>
      <c r="AI17" s="33"/>
      <c r="AJ17" s="33"/>
      <c r="AK17" s="33"/>
      <c r="AL17" s="31"/>
      <c r="AM17" s="31"/>
      <c r="AN17" s="31"/>
      <c r="AO17" s="31"/>
      <c r="AP17" s="31"/>
      <c r="AQ17" s="31"/>
      <c r="AR17" s="31"/>
      <c r="AS17" s="31"/>
      <c r="AT17" s="31"/>
      <c r="AU17" s="31"/>
      <c r="AV17" s="31"/>
      <c r="AW17" s="31"/>
      <c r="AX17" s="32"/>
      <c r="AZ17" s="62"/>
      <c r="BA17" s="44" t="s">
        <v>5</v>
      </c>
      <c r="BB17" s="64">
        <f>IF(BI30,2^(32-AD5)-1,"")</f>
        <v>4294967295</v>
      </c>
      <c r="BC17" s="31"/>
      <c r="BD17" s="31"/>
      <c r="BE17" s="31"/>
      <c r="BF17" s="31"/>
      <c r="BG17" s="31"/>
      <c r="BH17" s="31"/>
      <c r="BI17" s="34"/>
      <c r="BJ17" s="60"/>
    </row>
    <row r="18" spans="2:62" ht="17" thickBot="1" x14ac:dyDescent="0.25">
      <c r="B18" s="29"/>
      <c r="C18" s="33"/>
      <c r="D18" s="33"/>
      <c r="E18" s="33"/>
      <c r="F18" s="33"/>
      <c r="G18" s="33"/>
      <c r="H18" s="33"/>
      <c r="I18" s="33"/>
      <c r="J18" s="33"/>
      <c r="K18" s="33"/>
      <c r="L18" s="33"/>
      <c r="M18" s="33"/>
      <c r="N18" s="44"/>
      <c r="O18" s="31"/>
      <c r="P18" s="31"/>
      <c r="Q18" s="31"/>
      <c r="R18" s="31"/>
      <c r="S18" s="33"/>
      <c r="T18" s="33"/>
      <c r="U18" s="33"/>
      <c r="V18" s="33"/>
      <c r="W18" s="31"/>
      <c r="X18" s="33"/>
      <c r="Y18" s="33"/>
      <c r="Z18" s="33"/>
      <c r="AA18" s="33"/>
      <c r="AB18" s="31"/>
      <c r="AC18" s="31"/>
      <c r="AD18" s="31"/>
      <c r="AE18" s="31"/>
      <c r="AF18" s="31"/>
      <c r="AG18" s="31"/>
      <c r="AH18" s="31"/>
      <c r="AI18" s="33"/>
      <c r="AJ18" s="33"/>
      <c r="AK18" s="33"/>
      <c r="AL18" s="31"/>
      <c r="AM18" s="31"/>
      <c r="AN18" s="31"/>
      <c r="AO18" s="31"/>
      <c r="AP18" s="31"/>
      <c r="AQ18" s="31"/>
      <c r="AR18" s="31"/>
      <c r="AS18" s="31"/>
      <c r="AT18" s="31"/>
      <c r="AU18" s="31"/>
      <c r="AV18" s="31"/>
      <c r="AW18" s="31"/>
      <c r="AX18" s="32"/>
      <c r="AZ18" s="62"/>
      <c r="BA18" s="65"/>
      <c r="BB18" s="66"/>
      <c r="BC18" s="66"/>
      <c r="BD18" s="66"/>
      <c r="BE18" s="66"/>
      <c r="BF18" s="66"/>
      <c r="BG18" s="66"/>
      <c r="BH18" s="66"/>
      <c r="BI18" s="65"/>
      <c r="BJ18" s="60"/>
    </row>
    <row r="19" spans="2:62" ht="17" thickBot="1" x14ac:dyDescent="0.25">
      <c r="B19" s="29"/>
      <c r="C19" s="94" t="s">
        <v>63</v>
      </c>
      <c r="D19" s="94"/>
      <c r="E19" s="94"/>
      <c r="F19" s="94"/>
      <c r="G19" s="94"/>
      <c r="H19" s="94"/>
      <c r="I19" s="94"/>
      <c r="J19" s="94"/>
      <c r="K19" s="94"/>
      <c r="L19" s="94"/>
      <c r="M19" s="94"/>
      <c r="N19" s="95"/>
      <c r="O19" s="41" t="str">
        <f>MID(DEC2BIN($BB$5,8),1,1)</f>
        <v>0</v>
      </c>
      <c r="P19" s="42" t="str">
        <f>MID(DEC2BIN($BB$5,8),2,1)</f>
        <v>0</v>
      </c>
      <c r="Q19" s="42" t="str">
        <f>MID(DEC2BIN($BB$5,8),3,1)</f>
        <v>0</v>
      </c>
      <c r="R19" s="42" t="str">
        <f>MID(DEC2BIN($BB$5,8),4,1)</f>
        <v>0</v>
      </c>
      <c r="S19" s="42" t="str">
        <f>MID(DEC2BIN($BB$5,8),5,1)</f>
        <v>0</v>
      </c>
      <c r="T19" s="42" t="str">
        <f>MID(DEC2BIN($BB$5,8),6,1)</f>
        <v>0</v>
      </c>
      <c r="U19" s="42" t="str">
        <f>MID(DEC2BIN($BB$5,8),7,1)</f>
        <v>0</v>
      </c>
      <c r="V19" s="43" t="str">
        <f>MID(DEC2BIN($BB$5,8),8,1)</f>
        <v>0</v>
      </c>
      <c r="W19" s="35" t="s">
        <v>19</v>
      </c>
      <c r="X19" s="41" t="str">
        <f>MID(DEC2BIN($BD$5,8),1,1)</f>
        <v>0</v>
      </c>
      <c r="Y19" s="42" t="str">
        <f>MID(DEC2BIN($BD$5,8),2,1)</f>
        <v>0</v>
      </c>
      <c r="Z19" s="42" t="str">
        <f>MID(DEC2BIN($BD$5,8),3,1)</f>
        <v>0</v>
      </c>
      <c r="AA19" s="42" t="str">
        <f>MID(DEC2BIN($BD$5,8),4,1)</f>
        <v>0</v>
      </c>
      <c r="AB19" s="42" t="str">
        <f>MID(DEC2BIN($BD$5,8),5,1)</f>
        <v>0</v>
      </c>
      <c r="AC19" s="42" t="str">
        <f>MID(DEC2BIN($BD$5,8),6,1)</f>
        <v>0</v>
      </c>
      <c r="AD19" s="42" t="str">
        <f>MID(DEC2BIN($BD$5,8),7,1)</f>
        <v>0</v>
      </c>
      <c r="AE19" s="43" t="str">
        <f>MID(DEC2BIN($BD$5,8),8,1)</f>
        <v>0</v>
      </c>
      <c r="AF19" s="35" t="s">
        <v>19</v>
      </c>
      <c r="AG19" s="41" t="str">
        <f>MID(DEC2BIN($BF$5,8),1,1)</f>
        <v>0</v>
      </c>
      <c r="AH19" s="42" t="str">
        <f>MID(DEC2BIN($BF$5,8),2,1)</f>
        <v>0</v>
      </c>
      <c r="AI19" s="42" t="str">
        <f>MID(DEC2BIN($BF$5,8),3,1)</f>
        <v>0</v>
      </c>
      <c r="AJ19" s="42" t="str">
        <f>MID(DEC2BIN($BF$5,8),4,1)</f>
        <v>0</v>
      </c>
      <c r="AK19" s="42" t="str">
        <f>MID(DEC2BIN($BF$5,8),5,1)</f>
        <v>0</v>
      </c>
      <c r="AL19" s="42" t="str">
        <f>MID(DEC2BIN($BF$5,8),6,1)</f>
        <v>0</v>
      </c>
      <c r="AM19" s="42" t="str">
        <f>MID(DEC2BIN($BF$5,8),7,1)</f>
        <v>0</v>
      </c>
      <c r="AN19" s="43" t="str">
        <f>MID(DEC2BIN($BF$5,8),8,1)</f>
        <v>0</v>
      </c>
      <c r="AO19" s="35" t="s">
        <v>19</v>
      </c>
      <c r="AP19" s="41" t="str">
        <f>MID(DEC2BIN($BH$5,8),1,1)</f>
        <v>0</v>
      </c>
      <c r="AQ19" s="42" t="str">
        <f>MID(DEC2BIN($BH$5,8),2,1)</f>
        <v>0</v>
      </c>
      <c r="AR19" s="42" t="str">
        <f>MID(DEC2BIN($BH$5,8),3,1)</f>
        <v>0</v>
      </c>
      <c r="AS19" s="42" t="str">
        <f>MID(DEC2BIN($BH$5,8),4,1)</f>
        <v>0</v>
      </c>
      <c r="AT19" s="42" t="str">
        <f>MID(DEC2BIN($BH$5,8),5,1)</f>
        <v>0</v>
      </c>
      <c r="AU19" s="42" t="str">
        <f>MID(DEC2BIN($BH$5,8),6,1)</f>
        <v>0</v>
      </c>
      <c r="AV19" s="42" t="str">
        <f>MID(DEC2BIN($BH$5,8),7,1)</f>
        <v>0</v>
      </c>
      <c r="AW19" s="43" t="str">
        <f>MID(DEC2BIN($BH$5,8),8,1)</f>
        <v>0</v>
      </c>
      <c r="AX19" s="32"/>
      <c r="AZ19" s="62"/>
      <c r="BA19" s="44" t="s">
        <v>62</v>
      </c>
      <c r="BB19" s="31">
        <f>BIN2DEC(BB20)</f>
        <v>0</v>
      </c>
      <c r="BC19" s="31" t="s">
        <v>19</v>
      </c>
      <c r="BD19" s="31">
        <f t="shared" ref="BD19:BH19" si="6">BIN2DEC(BD20)</f>
        <v>0</v>
      </c>
      <c r="BE19" s="31" t="s">
        <v>19</v>
      </c>
      <c r="BF19" s="31">
        <f t="shared" si="6"/>
        <v>0</v>
      </c>
      <c r="BG19" s="31" t="s">
        <v>19</v>
      </c>
      <c r="BH19" s="31">
        <f t="shared" si="6"/>
        <v>0</v>
      </c>
      <c r="BI19" s="34" t="str">
        <f>IF(BI30,CONCATENATE(BB19, ".", BD19, ".", BF19, ".", BH19),"")</f>
        <v>0.0.0.0</v>
      </c>
      <c r="BJ19" s="60"/>
    </row>
    <row r="20" spans="2:62" ht="17" thickBot="1" x14ac:dyDescent="0.25">
      <c r="B20" s="29"/>
      <c r="C20" s="33"/>
      <c r="D20" s="33"/>
      <c r="E20" s="33"/>
      <c r="F20" s="33"/>
      <c r="G20" s="33"/>
      <c r="H20" s="33"/>
      <c r="I20" s="33"/>
      <c r="J20" s="33"/>
      <c r="K20" s="33"/>
      <c r="L20" s="33"/>
      <c r="M20" s="33"/>
      <c r="N20" s="44"/>
      <c r="O20" s="31"/>
      <c r="P20" s="31"/>
      <c r="Q20" s="31"/>
      <c r="R20" s="31"/>
      <c r="S20" s="33"/>
      <c r="T20" s="33"/>
      <c r="U20" s="33"/>
      <c r="V20" s="33"/>
      <c r="W20" s="31"/>
      <c r="X20" s="33"/>
      <c r="Y20" s="33"/>
      <c r="Z20" s="33"/>
      <c r="AA20" s="33"/>
      <c r="AB20" s="31"/>
      <c r="AC20" s="31"/>
      <c r="AD20" s="31"/>
      <c r="AE20" s="31"/>
      <c r="AF20" s="31"/>
      <c r="AG20" s="31"/>
      <c r="AH20" s="31"/>
      <c r="AI20" s="33"/>
      <c r="AJ20" s="33"/>
      <c r="AK20" s="33"/>
      <c r="AL20" s="31"/>
      <c r="AM20" s="31"/>
      <c r="AN20" s="31"/>
      <c r="AO20" s="31"/>
      <c r="AP20" s="31"/>
      <c r="AQ20" s="31"/>
      <c r="AR20" s="31"/>
      <c r="AS20" s="31"/>
      <c r="AT20" s="31"/>
      <c r="AU20" s="31"/>
      <c r="AV20" s="31"/>
      <c r="AW20" s="31"/>
      <c r="AX20" s="32"/>
      <c r="AZ20" s="61"/>
      <c r="BA20" s="44" t="s">
        <v>60</v>
      </c>
      <c r="BB20" s="31" t="str">
        <f>DEC2BIN(IF(BB38, _xlfn.BITAND(BB5,BB11), _xlfn.BITAND(BB5,BB8)),8)</f>
        <v>00000000</v>
      </c>
      <c r="BC20" s="31" t="s">
        <v>19</v>
      </c>
      <c r="BD20" s="31" t="str">
        <f>DEC2BIN(IF(BB38, _xlfn.BITAND(BD5,BD11), _xlfn.BITAND(BD5,BD8)),8)</f>
        <v>00000000</v>
      </c>
      <c r="BE20" s="31" t="s">
        <v>19</v>
      </c>
      <c r="BF20" s="31" t="str">
        <f>DEC2BIN(IF(BB38, _xlfn.BITAND( BF5,BF11), _xlfn.BITAND(BF5,BF8)),8)</f>
        <v>00000000</v>
      </c>
      <c r="BG20" s="31" t="s">
        <v>19</v>
      </c>
      <c r="BH20" s="31" t="str">
        <f>DEC2BIN(IF(BI30, _xlfn.BITAND(BH5,BH11), _xlfn.BITAND(BH5,BH8)),8)</f>
        <v>00000000</v>
      </c>
      <c r="BI20" s="34" t="str">
        <f>CONCATENATE(BB20,BD20,BF20,BH20)</f>
        <v>00000000000000000000000000000000</v>
      </c>
      <c r="BJ20" s="60"/>
    </row>
    <row r="21" spans="2:62" ht="17" thickBot="1" x14ac:dyDescent="0.25">
      <c r="B21" s="29"/>
      <c r="C21" s="94" t="s">
        <v>21</v>
      </c>
      <c r="D21" s="94"/>
      <c r="E21" s="94"/>
      <c r="F21" s="94"/>
      <c r="G21" s="94"/>
      <c r="H21" s="94"/>
      <c r="I21" s="94"/>
      <c r="J21" s="94"/>
      <c r="K21" s="94"/>
      <c r="L21" s="94"/>
      <c r="M21" s="94"/>
      <c r="N21" s="94"/>
      <c r="O21" s="41" t="str">
        <f t="shared" ref="O21:V21" si="7">IF($BB$38, MID(DEC2BIN($BB$11,8),1,1), MID(DEC2BIN($BB$8,8),1,1))</f>
        <v>0</v>
      </c>
      <c r="P21" s="42" t="str">
        <f t="shared" si="7"/>
        <v>0</v>
      </c>
      <c r="Q21" s="42" t="str">
        <f t="shared" si="7"/>
        <v>0</v>
      </c>
      <c r="R21" s="42" t="str">
        <f t="shared" si="7"/>
        <v>0</v>
      </c>
      <c r="S21" s="42" t="str">
        <f t="shared" si="7"/>
        <v>0</v>
      </c>
      <c r="T21" s="42" t="str">
        <f t="shared" si="7"/>
        <v>0</v>
      </c>
      <c r="U21" s="42" t="str">
        <f t="shared" si="7"/>
        <v>0</v>
      </c>
      <c r="V21" s="43" t="str">
        <f t="shared" si="7"/>
        <v>0</v>
      </c>
      <c r="W21" s="35" t="s">
        <v>19</v>
      </c>
      <c r="X21" s="41" t="str">
        <f>IF($BB$38, MID(DEC2BIN($BD$11,8),1,1), MID(DEC2BIN($BD$8,8),1,1))</f>
        <v>0</v>
      </c>
      <c r="Y21" s="42" t="str">
        <f>IF($BB$38, MID(DEC2BIN($BD$11,8),2,1), MID(DEC2BIN($BD$8,8),2,1))</f>
        <v>0</v>
      </c>
      <c r="Z21" s="42" t="str">
        <f>IF($BB$38, MID(DEC2BIN($BD$11,8),3,1), MID(DEC2BIN($BD$8,8),3,1))</f>
        <v>0</v>
      </c>
      <c r="AA21" s="42" t="str">
        <f>IF($BB$38, MID(DEC2BIN($BD$11,8),4,1), MID(DEC2BIN($BD$8,8),4,1))</f>
        <v>0</v>
      </c>
      <c r="AB21" s="42" t="str">
        <f>IF($BB$38, MID(DEC2BIN($BD$11,8),5,1), MID(DEC2BIN($BD$8,8),5,1))</f>
        <v>0</v>
      </c>
      <c r="AC21" s="42" t="str">
        <f>IF($BB$38, MID(DEC2BIN($BD$11,8),6,1), MID(DEC2BIN($BD$8,8),6,1))</f>
        <v>0</v>
      </c>
      <c r="AD21" s="42" t="str">
        <f>IF($BB$38, MID(DEC2BIN($BD$11,8),7,1), MID(DEC2BIN($BD$8,8),7,1))</f>
        <v>0</v>
      </c>
      <c r="AE21" s="43" t="str">
        <f>IF($BB$38, MID(DEC2BIN($BD$11,8),8,1), MID(DEC2BIN($BD$8,8),8,1))</f>
        <v>0</v>
      </c>
      <c r="AF21" s="35" t="s">
        <v>19</v>
      </c>
      <c r="AG21" s="41" t="str">
        <f>IF($BB$38, MID(DEC2BIN($BF$11,8),1,1), MID(DEC2BIN($BF$8,8),1,1))</f>
        <v>0</v>
      </c>
      <c r="AH21" s="42" t="str">
        <f>IF($BB$38, MID(DEC2BIN($BF$11,8),2,1), MID(DEC2BIN($BF$8,8),2,1))</f>
        <v>0</v>
      </c>
      <c r="AI21" s="42" t="str">
        <f>IF($BB$38, MID(DEC2BIN($BF$11,8),3,1), MID(DEC2BIN($BF$8,8),3,1))</f>
        <v>0</v>
      </c>
      <c r="AJ21" s="42" t="str">
        <f>IF($BB$38, MID(DEC2BIN($BF$11,8),4,1), MID(DEC2BIN($BF$8,8),4,1))</f>
        <v>0</v>
      </c>
      <c r="AK21" s="42" t="str">
        <f>IF($BB$38, MID(DEC2BIN($BF$11,8),5,1), MID(DEC2BIN($BF$8,8),5,1))</f>
        <v>0</v>
      </c>
      <c r="AL21" s="42" t="str">
        <f>IF($BB$38, MID(DEC2BIN($BF$11,8),6,1), MID(DEC2BIN($BF$8,8),6,1))</f>
        <v>0</v>
      </c>
      <c r="AM21" s="42" t="str">
        <f>IF($BB$38, MID(DEC2BIN($BF$11,8),7,1), MID(DEC2BIN($BF$8,8),7,1))</f>
        <v>0</v>
      </c>
      <c r="AN21" s="43" t="str">
        <f>IF($BB$38, MID(DEC2BIN($BF$11,8),8,1), MID(DEC2BIN($BF$8,8),8,1))</f>
        <v>0</v>
      </c>
      <c r="AO21" s="35" t="s">
        <v>19</v>
      </c>
      <c r="AP21" s="41" t="str">
        <f>IF($BB$38, MID(DEC2BIN($BH$11,8),1,1), MID(DEC2BIN($BH$8,8),1,1))</f>
        <v>0</v>
      </c>
      <c r="AQ21" s="42" t="str">
        <f>IF($BB$38, MID(DEC2BIN($BH$11,8),2,1), MID(DEC2BIN($BH$8,8),2,1))</f>
        <v>0</v>
      </c>
      <c r="AR21" s="42" t="str">
        <f>IF($BB$38, MID(DEC2BIN($BH$11,8),3,1), MID(DEC2BIN($BH$8,8),3,1))</f>
        <v>0</v>
      </c>
      <c r="AS21" s="42" t="str">
        <f>IF($BB$38, MID(DEC2BIN($BH$11,8),4,1), MID(DEC2BIN($BH$8,8),4,1))</f>
        <v>0</v>
      </c>
      <c r="AT21" s="42" t="str">
        <f>IF($BB$38, MID(DEC2BIN($BH$11,8),5,1), MID(DEC2BIN($BH$8,8),5,1))</f>
        <v>0</v>
      </c>
      <c r="AU21" s="42" t="str">
        <f>IF($BB$38, MID(DEC2BIN($BH$11,8),6,1), MID(DEC2BIN($BH$8,8),6,1))</f>
        <v>0</v>
      </c>
      <c r="AV21" s="42" t="str">
        <f>IF($BB$38, MID(DEC2BIN($BH$11,8),7,1), MID(DEC2BIN($BH$8,8),7,1))</f>
        <v>0</v>
      </c>
      <c r="AW21" s="43" t="str">
        <f>IF($BB$38, MID(DEC2BIN($BH$11,8),8,1), MID(DEC2BIN($BH$8,8),8,1))</f>
        <v>0</v>
      </c>
      <c r="AX21" s="32"/>
      <c r="AZ21" s="61"/>
      <c r="BA21" s="33"/>
      <c r="BB21" s="31"/>
      <c r="BC21" s="31"/>
      <c r="BD21" s="31"/>
      <c r="BE21" s="31"/>
      <c r="BF21" s="31"/>
      <c r="BG21" s="31"/>
      <c r="BH21" s="31"/>
      <c r="BI21" s="34"/>
      <c r="BJ21" s="60"/>
    </row>
    <row r="22" spans="2:62" ht="17" thickBot="1" x14ac:dyDescent="0.25">
      <c r="B22" s="29"/>
      <c r="C22" s="33"/>
      <c r="D22" s="33"/>
      <c r="E22" s="33"/>
      <c r="F22" s="44"/>
      <c r="G22" s="44"/>
      <c r="H22" s="44"/>
      <c r="I22" s="44"/>
      <c r="J22" s="44"/>
      <c r="K22" s="44"/>
      <c r="L22" s="44"/>
      <c r="M22" s="44"/>
      <c r="N22" s="30"/>
      <c r="O22" s="31"/>
      <c r="P22" s="31"/>
      <c r="Q22" s="31"/>
      <c r="R22" s="31"/>
      <c r="S22" s="31"/>
      <c r="T22" s="31"/>
      <c r="U22" s="31"/>
      <c r="V22" s="31"/>
      <c r="W22" s="35"/>
      <c r="X22" s="31"/>
      <c r="Y22" s="31"/>
      <c r="Z22" s="31"/>
      <c r="AA22" s="31"/>
      <c r="AB22" s="31"/>
      <c r="AC22" s="31"/>
      <c r="AD22" s="31"/>
      <c r="AE22" s="31"/>
      <c r="AF22" s="35"/>
      <c r="AG22" s="31"/>
      <c r="AH22" s="31"/>
      <c r="AI22" s="31"/>
      <c r="AJ22" s="31"/>
      <c r="AK22" s="31"/>
      <c r="AL22" s="31"/>
      <c r="AM22" s="31"/>
      <c r="AN22" s="31"/>
      <c r="AO22" s="35"/>
      <c r="AP22" s="31"/>
      <c r="AQ22" s="31"/>
      <c r="AR22" s="31"/>
      <c r="AS22" s="31"/>
      <c r="AT22" s="31"/>
      <c r="AU22" s="31"/>
      <c r="AV22" s="31"/>
      <c r="AW22" s="31"/>
      <c r="AX22" s="32"/>
      <c r="AZ22" s="62"/>
      <c r="BA22" s="44" t="s">
        <v>71</v>
      </c>
      <c r="BB22" s="31">
        <f>_xlfn.BITAND(I3,(BIN2DEC(MID(REPT("1",AD5)&amp;REPT("0",32-AD5),1,8))))</f>
        <v>0</v>
      </c>
      <c r="BC22" s="31" t="s">
        <v>19</v>
      </c>
      <c r="BD22" s="31">
        <f>_xlfn.BITAND(L3,(BIN2DEC(MID(REPT("1",AD5)&amp;REPT("0",32-AD5),9,8))))</f>
        <v>0</v>
      </c>
      <c r="BE22" s="31" t="s">
        <v>19</v>
      </c>
      <c r="BF22" s="31">
        <f>_xlfn.BITAND(O3,(BIN2DEC(MID(REPT("1",AD5)&amp;REPT("0",32-AD5),17,8))))</f>
        <v>0</v>
      </c>
      <c r="BG22" s="31" t="s">
        <v>19</v>
      </c>
      <c r="BH22" s="31">
        <f>_xlfn.BITAND(R3,(BIN2DEC(MID(REPT("1",AD5)&amp;REPT("0",32-AD5),25,8))))+1</f>
        <v>1</v>
      </c>
      <c r="BI22" s="34" t="str">
        <f>IF(BI30, CONCATENATE(BB22,".",BD22,".",BF22,".",BH22), "")</f>
        <v>0.0.0.1</v>
      </c>
      <c r="BJ22" s="60"/>
    </row>
    <row r="23" spans="2:62" ht="17" thickBot="1" x14ac:dyDescent="0.25">
      <c r="B23" s="29"/>
      <c r="C23" s="94" t="s">
        <v>60</v>
      </c>
      <c r="D23" s="94"/>
      <c r="E23" s="94"/>
      <c r="F23" s="94"/>
      <c r="G23" s="94"/>
      <c r="H23" s="94"/>
      <c r="I23" s="94"/>
      <c r="J23" s="94"/>
      <c r="K23" s="94"/>
      <c r="L23" s="94"/>
      <c r="M23" s="94"/>
      <c r="N23" s="95"/>
      <c r="O23" s="41" t="str">
        <f>MID(DEC2BIN($BB$19,8),1,1)</f>
        <v>0</v>
      </c>
      <c r="P23" s="42" t="str">
        <f>MID(DEC2BIN($BB$19,8),2,1)</f>
        <v>0</v>
      </c>
      <c r="Q23" s="42" t="str">
        <f>MID(DEC2BIN($BB$19,8),3,1)</f>
        <v>0</v>
      </c>
      <c r="R23" s="42" t="str">
        <f>MID(DEC2BIN($BB$19,8),4,1)</f>
        <v>0</v>
      </c>
      <c r="S23" s="42" t="str">
        <f>MID(DEC2BIN($BB$19,8),5,1)</f>
        <v>0</v>
      </c>
      <c r="T23" s="42" t="str">
        <f>MID(DEC2BIN($BB$19,8),6,1)</f>
        <v>0</v>
      </c>
      <c r="U23" s="42" t="str">
        <f>MID(DEC2BIN($BB$19,8),7,1)</f>
        <v>0</v>
      </c>
      <c r="V23" s="43" t="str">
        <f>MID(DEC2BIN($BB$19,8),8,1)</f>
        <v>0</v>
      </c>
      <c r="W23" s="35" t="s">
        <v>19</v>
      </c>
      <c r="X23" s="41" t="str">
        <f>MID(DEC2BIN($BD$19,8),1,1)</f>
        <v>0</v>
      </c>
      <c r="Y23" s="42" t="str">
        <f>MID(DEC2BIN($BD$19,8),2,1)</f>
        <v>0</v>
      </c>
      <c r="Z23" s="42" t="str">
        <f>MID(DEC2BIN($BD$19,8),3,1)</f>
        <v>0</v>
      </c>
      <c r="AA23" s="42" t="str">
        <f>MID(DEC2BIN($BD$19,8),4,1)</f>
        <v>0</v>
      </c>
      <c r="AB23" s="42" t="str">
        <f>MID(DEC2BIN($BD$19,8),5,1)</f>
        <v>0</v>
      </c>
      <c r="AC23" s="42" t="str">
        <f>MID(DEC2BIN($BD$19,8),6,1)</f>
        <v>0</v>
      </c>
      <c r="AD23" s="42" t="str">
        <f>MID(DEC2BIN($BD$19,8),7,1)</f>
        <v>0</v>
      </c>
      <c r="AE23" s="43" t="str">
        <f>MID(DEC2BIN($BD$19,8),8,1)</f>
        <v>0</v>
      </c>
      <c r="AF23" s="35" t="s">
        <v>19</v>
      </c>
      <c r="AG23" s="41" t="str">
        <f>MID(DEC2BIN($BF$19,8),1,1)</f>
        <v>0</v>
      </c>
      <c r="AH23" s="42" t="str">
        <f>MID(DEC2BIN($BF$19,8),2,1)</f>
        <v>0</v>
      </c>
      <c r="AI23" s="42" t="str">
        <f>MID(DEC2BIN($BF$19,8),3,1)</f>
        <v>0</v>
      </c>
      <c r="AJ23" s="42" t="str">
        <f>MID(DEC2BIN($BF$19,8),4,1)</f>
        <v>0</v>
      </c>
      <c r="AK23" s="42" t="str">
        <f>MID(DEC2BIN($BF$19,8),5,1)</f>
        <v>0</v>
      </c>
      <c r="AL23" s="42" t="str">
        <f>MID(DEC2BIN($BF$19,8),6,1)</f>
        <v>0</v>
      </c>
      <c r="AM23" s="42" t="str">
        <f>MID(DEC2BIN($BF$19,8),7,1)</f>
        <v>0</v>
      </c>
      <c r="AN23" s="43" t="str">
        <f>MID(DEC2BIN($BF$19,8),8,1)</f>
        <v>0</v>
      </c>
      <c r="AO23" s="35" t="s">
        <v>19</v>
      </c>
      <c r="AP23" s="41" t="str">
        <f>MID(DEC2BIN($BH$19,8),1,1)</f>
        <v>0</v>
      </c>
      <c r="AQ23" s="42" t="str">
        <f>MID(DEC2BIN($BH$19,8),2,1)</f>
        <v>0</v>
      </c>
      <c r="AR23" s="42" t="str">
        <f>MID(DEC2BIN($BH$19,8),3,1)</f>
        <v>0</v>
      </c>
      <c r="AS23" s="42" t="str">
        <f>MID(DEC2BIN($BH$19,8),4,1)</f>
        <v>0</v>
      </c>
      <c r="AT23" s="42" t="str">
        <f>MID(DEC2BIN($BH$19,8),5,1)</f>
        <v>0</v>
      </c>
      <c r="AU23" s="42" t="str">
        <f>MID(DEC2BIN($BH$19,8),6,1)</f>
        <v>0</v>
      </c>
      <c r="AV23" s="42" t="str">
        <f>MID(DEC2BIN($BH$19,8),7,1)</f>
        <v>0</v>
      </c>
      <c r="AW23" s="43" t="str">
        <f>MID(DEC2BIN($BH$19,8),8,1)</f>
        <v>0</v>
      </c>
      <c r="AX23" s="32"/>
      <c r="AZ23" s="61"/>
      <c r="BA23" s="44" t="s">
        <v>73</v>
      </c>
      <c r="BB23" s="31">
        <f>_xlfn.BITOR(I3,255-BIN2DEC(MID(REPT("1",AD5)&amp;REPT("0",32-AD5),1,8)))</f>
        <v>255</v>
      </c>
      <c r="BC23" s="31" t="s">
        <v>19</v>
      </c>
      <c r="BD23" s="31">
        <f>_xlfn.BITOR(L3, 255-BIN2DEC(MID(REPT("1",AD5)&amp;REPT("0",32-AD5),9,8)))</f>
        <v>255</v>
      </c>
      <c r="BE23" s="31" t="s">
        <v>19</v>
      </c>
      <c r="BF23" s="31">
        <f>_xlfn.BITOR(O3, 255-BIN2DEC(MID(REPT("1",AD5)&amp;REPT("0",32-AD5),17,8)))</f>
        <v>255</v>
      </c>
      <c r="BG23" s="31" t="s">
        <v>19</v>
      </c>
      <c r="BH23" s="31">
        <f>_xlfn.BITOR(R3, 255-BIN2DEC(MID(REPT("1",AD5)&amp;REPT("0",32-AD5),25,8)))-1</f>
        <v>254</v>
      </c>
      <c r="BI23" s="34" t="str">
        <f>IF(BI30, CONCATENATE(BB23,".",BD23,".",BF23,".",BH23), "")</f>
        <v>255.255.255.254</v>
      </c>
      <c r="BJ23" s="60"/>
    </row>
    <row r="24" spans="2:62" ht="16" customHeight="1" thickBot="1" x14ac:dyDescent="0.25">
      <c r="B24" s="37"/>
      <c r="C24" s="38"/>
      <c r="D24" s="38"/>
      <c r="E24" s="38"/>
      <c r="F24" s="38"/>
      <c r="G24" s="38"/>
      <c r="H24" s="38"/>
      <c r="I24" s="38"/>
      <c r="J24" s="38"/>
      <c r="K24" s="38"/>
      <c r="L24" s="38"/>
      <c r="M24" s="38"/>
      <c r="N24" s="39"/>
      <c r="O24" s="40"/>
      <c r="P24" s="40"/>
      <c r="Q24" s="40"/>
      <c r="R24" s="40"/>
      <c r="S24" s="38"/>
      <c r="T24" s="38"/>
      <c r="U24" s="38"/>
      <c r="V24" s="38"/>
      <c r="W24" s="47"/>
      <c r="X24" s="38"/>
      <c r="Y24" s="38"/>
      <c r="Z24" s="38"/>
      <c r="AA24" s="38"/>
      <c r="AB24" s="47"/>
      <c r="AC24" s="47"/>
      <c r="AD24" s="47"/>
      <c r="AE24" s="47"/>
      <c r="AF24" s="47"/>
      <c r="AG24" s="47"/>
      <c r="AH24" s="47"/>
      <c r="AI24" s="38"/>
      <c r="AJ24" s="38"/>
      <c r="AK24" s="38"/>
      <c r="AL24" s="47"/>
      <c r="AM24" s="47"/>
      <c r="AN24" s="47"/>
      <c r="AO24" s="47"/>
      <c r="AP24" s="47"/>
      <c r="AQ24" s="47"/>
      <c r="AR24" s="47"/>
      <c r="AS24" s="47"/>
      <c r="AT24" s="47"/>
      <c r="AU24" s="47"/>
      <c r="AV24" s="47"/>
      <c r="AW24" s="47"/>
      <c r="AX24" s="48"/>
      <c r="AZ24" s="62"/>
      <c r="BA24" s="44" t="s">
        <v>72</v>
      </c>
      <c r="BB24" s="31">
        <f>_xlfn.BITOR(I3, 255-BIN2DEC(MID(REPT("1",AD5)&amp;REPT("0",32-AD5),1,8)))</f>
        <v>255</v>
      </c>
      <c r="BC24" s="31" t="s">
        <v>19</v>
      </c>
      <c r="BD24" s="31">
        <f>_xlfn.BITOR(L3, 255-BIN2DEC(MID(REPT("1",AD5)&amp;REPT("0",32-AD5),9,8)))</f>
        <v>255</v>
      </c>
      <c r="BE24" s="31" t="s">
        <v>19</v>
      </c>
      <c r="BF24" s="31">
        <f>_xlfn.BITOR(O3, 255-BIN2DEC(MID(REPT("1",AD5)&amp;REPT("0",32-AD5),17,8)))</f>
        <v>255</v>
      </c>
      <c r="BG24" s="31" t="s">
        <v>19</v>
      </c>
      <c r="BH24" s="31">
        <f>_xlfn.BITOR(R3, 255-BIN2DEC(MID(REPT("1",AD5)&amp;REPT("0",32-AD5),25,8)))</f>
        <v>255</v>
      </c>
      <c r="BI24" s="34" t="str">
        <f>IF(BI30, CONCATENATE(BB24,".",BD24,".",BF24,".",BH24), "")</f>
        <v>255.255.255.255</v>
      </c>
      <c r="BJ24" s="60"/>
    </row>
    <row r="25" spans="2:62" ht="17" thickBot="1" x14ac:dyDescent="0.25">
      <c r="V25" s="19"/>
      <c r="W25" s="23"/>
      <c r="X25" s="23"/>
      <c r="Y25" s="23"/>
      <c r="AZ25" s="61"/>
      <c r="BA25" s="34"/>
      <c r="BB25" s="31"/>
      <c r="BC25" s="31"/>
      <c r="BD25" s="31"/>
      <c r="BE25" s="31"/>
      <c r="BF25" s="31"/>
      <c r="BG25" s="31"/>
      <c r="BH25" s="31"/>
      <c r="BI25" s="34"/>
      <c r="BJ25" s="60"/>
    </row>
    <row r="26" spans="2:62" ht="16" customHeight="1" x14ac:dyDescent="0.2">
      <c r="C26" s="117" t="s">
        <v>95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8"/>
      <c r="AB26" s="118"/>
      <c r="AC26" s="118"/>
      <c r="AD26" s="118"/>
      <c r="AE26" s="118"/>
      <c r="AF26" s="118"/>
      <c r="AG26" s="118"/>
      <c r="AH26" s="118"/>
      <c r="AI26" s="118"/>
      <c r="AJ26" s="118"/>
      <c r="AK26" s="118"/>
      <c r="AL26" s="118"/>
      <c r="AM26" s="118"/>
      <c r="AN26" s="118"/>
      <c r="AO26" s="118"/>
      <c r="AP26" s="118"/>
      <c r="AQ26" s="118"/>
      <c r="AR26" s="118"/>
      <c r="AS26" s="118"/>
      <c r="AT26" s="118"/>
      <c r="AU26" s="118"/>
      <c r="AV26" s="118"/>
      <c r="AW26" s="119"/>
      <c r="AZ26" s="61"/>
      <c r="BA26" s="44" t="s">
        <v>61</v>
      </c>
      <c r="BB26" s="31">
        <f>IF(BB38, IF(VALUE(BB11)&lt;255, 256/POWER(2, (FIND("0", BB12)-1)),0), IF(VALUE(BB8)&lt;255, 256/POWER(2, (FIND("0", BB9)-1)),0))</f>
        <v>256</v>
      </c>
      <c r="BC26" s="31" t="s">
        <v>19</v>
      </c>
      <c r="BD26" s="31">
        <f>IF(BB38, IF(VALUE(BD11)&lt;255, 256/POWER(2, (FIND("0", BD12)-1)),0), IF(VALUE(BD8)&lt;255, 256/POWER(2, (FIND("0", BD9)-1)),0))</f>
        <v>256</v>
      </c>
      <c r="BE26" s="31" t="s">
        <v>19</v>
      </c>
      <c r="BF26" s="31">
        <f>IF(BB38, IF(VALUE(BF11)&lt;255, 256/POWER(2, (FIND("0", BF12)-1)),0), IF(VALUE(BF8)&lt;255, 256/POWER(2, (FIND("0", BF9)-1)),0))</f>
        <v>256</v>
      </c>
      <c r="BG26" s="31" t="s">
        <v>19</v>
      </c>
      <c r="BH26" s="31">
        <f>IF(BB38, IF(VALUE(BH11)&lt;255, 256/POWER(2, (FIND("0", BH12)-1)),0), IF(VALUE(BH8)&lt;255, 256/POWER(2, (FIND("0", BH9)-1)),0))</f>
        <v>256</v>
      </c>
      <c r="BI26" s="34">
        <f>(BB26+BD26+BF26+BH26)</f>
        <v>1024</v>
      </c>
      <c r="BJ26" s="60"/>
    </row>
    <row r="27" spans="2:62" ht="16" customHeight="1" x14ac:dyDescent="0.2">
      <c r="C27" s="120"/>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M27" s="121"/>
      <c r="AN27" s="121"/>
      <c r="AO27" s="121"/>
      <c r="AP27" s="121"/>
      <c r="AQ27" s="121"/>
      <c r="AR27" s="121"/>
      <c r="AS27" s="121"/>
      <c r="AT27" s="121"/>
      <c r="AU27" s="121"/>
      <c r="AV27" s="121"/>
      <c r="AW27" s="122"/>
      <c r="AZ27" s="61"/>
      <c r="BA27" s="34"/>
      <c r="BB27" s="31"/>
      <c r="BC27" s="31"/>
      <c r="BD27" s="31"/>
      <c r="BE27" s="31"/>
      <c r="BF27" s="31"/>
      <c r="BG27" s="31"/>
      <c r="BH27" s="31"/>
      <c r="BI27" s="34"/>
      <c r="BJ27" s="60"/>
    </row>
    <row r="28" spans="2:62" ht="16" customHeight="1" thickBot="1" x14ac:dyDescent="0.25">
      <c r="C28" s="123"/>
      <c r="D28" s="124"/>
      <c r="E28" s="124"/>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5"/>
      <c r="AZ28" s="61"/>
      <c r="BA28" s="44" t="s">
        <v>70</v>
      </c>
      <c r="BB28" s="31" t="b">
        <f>IF(AND(U3&lt;&gt;"", OR(AD3&lt;&gt;"", AG3&lt;&gt;"", AJ3&lt;&gt;"", AM3&lt;&gt;"")), TRUE, FALSE)</f>
        <v>0</v>
      </c>
      <c r="BC28" s="31"/>
      <c r="BD28" s="31"/>
      <c r="BE28" s="31"/>
      <c r="BF28" s="31"/>
      <c r="BG28" s="31"/>
      <c r="BH28" s="31"/>
      <c r="BI28" s="34"/>
      <c r="BJ28" s="60"/>
    </row>
    <row r="29" spans="2:62" ht="17" customHeight="1" x14ac:dyDescent="0.2">
      <c r="K29" s="23"/>
      <c r="L29" s="24"/>
      <c r="M29" s="24"/>
      <c r="N29" s="24"/>
      <c r="O29" s="24"/>
      <c r="P29" s="24"/>
      <c r="Q29" s="24"/>
      <c r="R29" s="24"/>
      <c r="S29" s="24"/>
      <c r="T29" s="24"/>
      <c r="U29" s="24"/>
      <c r="V29" s="24"/>
      <c r="W29" s="24"/>
      <c r="X29" s="23"/>
      <c r="Y29" s="23"/>
      <c r="AZ29" s="61"/>
      <c r="BA29" s="44" t="s">
        <v>69</v>
      </c>
      <c r="BB29" s="31" t="str">
        <f>IF(AND(VALUE(BB5) &gt;=1, VALUE(BB5) &lt;=254), "TRUE", "FALSE")</f>
        <v>FALSE</v>
      </c>
      <c r="BC29" s="31"/>
      <c r="BD29" s="31" t="str">
        <f>IF(VALUE(BD5)&gt;255, "FALSE", "TRUE")</f>
        <v>TRUE</v>
      </c>
      <c r="BE29" s="31"/>
      <c r="BF29" s="31" t="str">
        <f>IF(VALUE(BF5)&gt;255, "FALSE", "TRUE")</f>
        <v>TRUE</v>
      </c>
      <c r="BG29" s="31"/>
      <c r="BH29" s="31" t="str">
        <f>IF(VALUE(BH5)&gt;255, "FALSE", "TRUE")</f>
        <v>TRUE</v>
      </c>
      <c r="BI29" s="34" t="b">
        <f>AND(BB29="TRUE",BD29="TRUE",BF29="TRUE",BH29="TRUE")</f>
        <v>0</v>
      </c>
      <c r="BJ29" s="60"/>
    </row>
    <row r="30" spans="2:62" ht="16" customHeight="1" x14ac:dyDescent="0.2">
      <c r="K30" s="23"/>
      <c r="L30" s="24"/>
      <c r="M30" s="24"/>
      <c r="N30" s="24"/>
      <c r="O30" s="24"/>
      <c r="P30" s="24"/>
      <c r="Q30" s="24"/>
      <c r="R30" s="24"/>
      <c r="S30" s="24"/>
      <c r="T30" s="24"/>
      <c r="U30" s="24"/>
      <c r="V30" s="24"/>
      <c r="W30" s="24"/>
      <c r="X30" s="23"/>
      <c r="Y30" s="23"/>
      <c r="AZ30" s="62"/>
      <c r="BA30" s="44" t="s">
        <v>68</v>
      </c>
      <c r="BB30" s="31"/>
      <c r="BC30" s="31"/>
      <c r="BD30" s="31"/>
      <c r="BE30" s="31"/>
      <c r="BF30" s="31"/>
      <c r="BG30" s="31"/>
      <c r="BH30" s="31"/>
      <c r="BI30" s="34" t="b">
        <f>IF(ISNUMBER(FIND("1",BI9,VALUE(FIND("0",BI9)))), FALSE, TRUE)</f>
        <v>1</v>
      </c>
      <c r="BJ30" s="60"/>
    </row>
    <row r="31" spans="2:62" x14ac:dyDescent="0.2">
      <c r="B31" s="93" t="str">
        <f ca="1">CONCATENATE(ABOUT!B5)</f>
        <v>Copyright © Matthew R. Kisow, D.Sc. 2022-2022</v>
      </c>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93"/>
      <c r="AG31" s="93"/>
      <c r="AH31" s="93"/>
      <c r="AI31" s="93"/>
      <c r="AJ31" s="93"/>
      <c r="AK31" s="93"/>
      <c r="AL31" s="93"/>
      <c r="AM31" s="93"/>
      <c r="AN31" s="93"/>
      <c r="AO31" s="93"/>
      <c r="AP31" s="93"/>
      <c r="AQ31" s="93"/>
      <c r="AR31" s="93"/>
      <c r="AS31" s="93"/>
      <c r="AT31" s="93"/>
      <c r="AU31" s="93"/>
      <c r="AV31" s="93"/>
      <c r="AW31" s="93"/>
      <c r="AX31" s="93"/>
      <c r="AZ31" s="62"/>
      <c r="BA31" s="44"/>
      <c r="BB31" s="31"/>
      <c r="BC31" s="31"/>
      <c r="BD31" s="31"/>
      <c r="BE31" s="31"/>
      <c r="BF31" s="31"/>
      <c r="BG31" s="31"/>
      <c r="BH31" s="31"/>
      <c r="BI31" s="34"/>
      <c r="BJ31" s="60"/>
    </row>
    <row r="32" spans="2:62" ht="16" customHeight="1" thickBot="1" x14ac:dyDescent="0.25">
      <c r="AZ32" s="61"/>
      <c r="BA32" s="116" t="s">
        <v>74</v>
      </c>
      <c r="BB32" s="116"/>
      <c r="BC32" s="116"/>
      <c r="BD32" s="116"/>
      <c r="BE32" s="116"/>
      <c r="BF32" s="116"/>
      <c r="BG32" s="116"/>
      <c r="BH32" s="116"/>
      <c r="BI32" s="116"/>
      <c r="BJ32" s="60"/>
    </row>
    <row r="33" spans="3:62" ht="17" thickBot="1" x14ac:dyDescent="0.25">
      <c r="C33" s="90" t="str">
        <f>IF(ISBLANK(I3), "", IF(BB5 = 0, "DEFAULT NETWORK - RESERVED", IF(BB5 = 127, "LOOPBACK ADDRESS - RESERVED", IF(BB28,"USE CLASSFUL (NETMASK) OR CLASSLESS (CIDR) ADDRESSING ONLY", IF(NOT(BI29),"INVALID IP ADDRESS", IF(NOT(BI30), "INVALID NETMASK", IF(BB36, "CLASS D - MULTICAST RESERVED", IF(BB36, "CLASS E - RESERVED", ""))))))))</f>
        <v/>
      </c>
      <c r="D33" s="91"/>
      <c r="E33" s="91"/>
      <c r="F33" s="91"/>
      <c r="G33" s="91"/>
      <c r="H33" s="91"/>
      <c r="I33" s="91"/>
      <c r="J33" s="91"/>
      <c r="K33" s="91"/>
      <c r="L33" s="91"/>
      <c r="M33" s="91"/>
      <c r="N33" s="91"/>
      <c r="O33" s="91"/>
      <c r="P33" s="91"/>
      <c r="Q33" s="91"/>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2"/>
      <c r="AZ33" s="61"/>
      <c r="BA33" s="44" t="s">
        <v>90</v>
      </c>
      <c r="BB33" s="31" t="b">
        <f>IF(BB38, FALSE, IF(AG11 = "CLASS A", TRUE, FALSE))</f>
        <v>0</v>
      </c>
      <c r="BC33" s="31"/>
      <c r="BD33" s="31"/>
      <c r="BE33" s="31"/>
      <c r="BF33" s="31"/>
      <c r="BG33" s="31"/>
      <c r="BH33" s="31"/>
      <c r="BI33" s="34"/>
      <c r="BJ33" s="60"/>
    </row>
    <row r="34" spans="3:62" x14ac:dyDescent="0.2">
      <c r="AZ34" s="61"/>
      <c r="BA34" s="44" t="s">
        <v>91</v>
      </c>
      <c r="BB34" s="31" t="b">
        <f>IF(BB38, FALSE, IF(AG11 = "CLASS B", TRUE, FALSE))</f>
        <v>0</v>
      </c>
      <c r="BC34" s="31"/>
      <c r="BD34" s="31"/>
      <c r="BE34" s="31"/>
      <c r="BF34" s="31"/>
      <c r="BG34" s="31"/>
      <c r="BH34" s="31"/>
      <c r="BI34" s="34"/>
      <c r="BJ34" s="60"/>
    </row>
    <row r="35" spans="3:62" x14ac:dyDescent="0.2">
      <c r="AZ35" s="61"/>
      <c r="BA35" s="44" t="s">
        <v>92</v>
      </c>
      <c r="BB35" s="31" t="b">
        <f>IF(BB38, FALSE, IF(AG11 = "CLASS C", TRUE, FALSE))</f>
        <v>0</v>
      </c>
      <c r="BC35" s="31"/>
      <c r="BD35" s="31"/>
      <c r="BE35" s="31"/>
      <c r="BF35" s="31"/>
      <c r="BG35" s="31"/>
      <c r="BH35" s="31"/>
      <c r="BI35" s="34"/>
      <c r="BJ35" s="60"/>
    </row>
    <row r="36" spans="3:62" x14ac:dyDescent="0.2">
      <c r="AZ36" s="61"/>
      <c r="BA36" s="73" t="s">
        <v>93</v>
      </c>
      <c r="BB36" s="74" t="b">
        <f>IF(BB38, FALSE, IF(AG11 = "CLASS D", TRUE, FALSE))</f>
        <v>0</v>
      </c>
      <c r="BC36" s="74"/>
      <c r="BD36" s="74"/>
      <c r="BE36" s="74"/>
      <c r="BF36" s="74"/>
      <c r="BG36" s="74"/>
      <c r="BH36" s="74"/>
      <c r="BI36" s="34"/>
      <c r="BJ36" s="60"/>
    </row>
    <row r="37" spans="3:62" x14ac:dyDescent="0.2">
      <c r="AZ37" s="61"/>
      <c r="BA37" s="73" t="s">
        <v>94</v>
      </c>
      <c r="BB37" s="74" t="b">
        <f>IF(BB38, FALSE, IF(AG11 = "CLASS E", TRUE, FALSE))</f>
        <v>0</v>
      </c>
      <c r="BC37" s="74"/>
      <c r="BD37" s="74"/>
      <c r="BE37" s="74"/>
      <c r="BF37" s="74"/>
      <c r="BG37" s="74"/>
      <c r="BH37" s="74"/>
      <c r="BI37" s="34"/>
      <c r="BJ37" s="60"/>
    </row>
    <row r="38" spans="3:62" x14ac:dyDescent="0.2">
      <c r="AZ38" s="62"/>
      <c r="BA38" s="44" t="s">
        <v>23</v>
      </c>
      <c r="BB38" s="31" t="str">
        <f>IF(U3&lt;&gt;"","TRUE","FALSE")</f>
        <v>FALSE</v>
      </c>
      <c r="BC38" s="31"/>
      <c r="BD38" s="31"/>
      <c r="BE38" s="31"/>
      <c r="BF38" s="31"/>
      <c r="BG38" s="31"/>
      <c r="BH38" s="31"/>
      <c r="BI38" s="34"/>
      <c r="BJ38" s="60"/>
    </row>
    <row r="39" spans="3:62" x14ac:dyDescent="0.2">
      <c r="AZ39" s="61"/>
      <c r="BA39" s="34"/>
      <c r="BB39" s="31"/>
      <c r="BC39" s="31"/>
      <c r="BD39" s="31"/>
      <c r="BE39" s="31"/>
      <c r="BF39" s="31"/>
      <c r="BG39" s="31"/>
      <c r="BH39" s="31"/>
      <c r="BI39" s="34"/>
      <c r="BJ39" s="60"/>
    </row>
    <row r="40" spans="3:62" x14ac:dyDescent="0.2">
      <c r="AZ40" s="61"/>
      <c r="BA40" s="44" t="s">
        <v>25</v>
      </c>
      <c r="BB40" s="31" t="b">
        <f>IF(VALUE(BB5) = 10,TRUE, FALSE)</f>
        <v>0</v>
      </c>
      <c r="BC40" s="31"/>
      <c r="BD40" s="31"/>
      <c r="BE40" s="31"/>
      <c r="BF40" s="31"/>
      <c r="BG40" s="31"/>
      <c r="BH40" s="31"/>
      <c r="BI40" s="34" t="b">
        <f>BB40</f>
        <v>0</v>
      </c>
      <c r="BJ40" s="60"/>
    </row>
    <row r="41" spans="3:62" x14ac:dyDescent="0.2">
      <c r="AZ41" s="61"/>
      <c r="BA41" s="44" t="s">
        <v>26</v>
      </c>
      <c r="BB41" s="31" t="b">
        <f>IF(VALUE(BB5) = 172, TRUE, FALSE)</f>
        <v>0</v>
      </c>
      <c r="BC41" s="31"/>
      <c r="BD41" s="31" t="b">
        <f>IF(AND(VALUE(BD5)&gt;=16,VALUE(BD5)&lt;=31),TRUE,FALSE)</f>
        <v>0</v>
      </c>
      <c r="BE41" s="31"/>
      <c r="BF41" s="31"/>
      <c r="BG41" s="31"/>
      <c r="BH41" s="31"/>
      <c r="BI41" s="34" t="b">
        <f>AND(BB41, BD41 )</f>
        <v>0</v>
      </c>
      <c r="BJ41" s="60"/>
    </row>
    <row r="42" spans="3:62" x14ac:dyDescent="0.2">
      <c r="AZ42" s="61"/>
      <c r="BA42" s="44" t="s">
        <v>27</v>
      </c>
      <c r="BB42" s="31" t="b">
        <f>IF(VALUE(BB5) = 192, TRUE,FALSE)</f>
        <v>0</v>
      </c>
      <c r="BC42" s="31"/>
      <c r="BD42" s="31" t="b">
        <f>IF(VALUE(BD5) = 168,TRUE,FALSE)</f>
        <v>0</v>
      </c>
      <c r="BE42" s="31"/>
      <c r="BF42" s="31"/>
      <c r="BG42" s="31"/>
      <c r="BH42" s="31"/>
      <c r="BI42" s="34" t="b">
        <f>AND(BB42, BD42)</f>
        <v>0</v>
      </c>
      <c r="BJ42" s="60"/>
    </row>
    <row r="43" spans="3:62" ht="17" thickBot="1" x14ac:dyDescent="0.25">
      <c r="AZ43" s="67"/>
      <c r="BA43" s="38"/>
      <c r="BB43" s="47"/>
      <c r="BC43" s="47"/>
      <c r="BD43" s="47"/>
      <c r="BE43" s="47"/>
      <c r="BF43" s="47"/>
      <c r="BG43" s="47"/>
      <c r="BH43" s="47"/>
      <c r="BI43" s="40"/>
      <c r="BJ43" s="68"/>
    </row>
    <row r="44" spans="3:62" x14ac:dyDescent="0.2">
      <c r="AZ44" s="20"/>
      <c r="BA44" s="21"/>
    </row>
    <row r="45" spans="3:62" x14ac:dyDescent="0.2">
      <c r="BA45" s="21"/>
    </row>
  </sheetData>
  <sheetProtection algorithmName="SHA-512" hashValue="APi6Dhqc9tYc7kcXaJHYTVjQdUCxAGqTBRXNBzkrY3bhGwxisLAbCyD4P62j0xlcvfmDK59Vf6kv+/FcHeZcwQ==" saltValue="+NU0Pr0R01RsgO+nyZuXOA==" spinCount="100000" sheet="1" objects="1" scenarios="1" selectLockedCells="1"/>
  <mergeCells count="42">
    <mergeCell ref="AD3:AE3"/>
    <mergeCell ref="BA32:BI32"/>
    <mergeCell ref="C26:AW28"/>
    <mergeCell ref="BA3:BI3"/>
    <mergeCell ref="AD5:AN5"/>
    <mergeCell ref="X5:AC5"/>
    <mergeCell ref="AG7:AN7"/>
    <mergeCell ref="C5:N5"/>
    <mergeCell ref="C7:N7"/>
    <mergeCell ref="AG3:AH3"/>
    <mergeCell ref="AJ3:AK3"/>
    <mergeCell ref="AM3:AN3"/>
    <mergeCell ref="X3:AC3"/>
    <mergeCell ref="C3:H3"/>
    <mergeCell ref="X13:AE13"/>
    <mergeCell ref="L3:M3"/>
    <mergeCell ref="O3:P3"/>
    <mergeCell ref="R3:S3"/>
    <mergeCell ref="U3:V3"/>
    <mergeCell ref="C9:N9"/>
    <mergeCell ref="O7:V7"/>
    <mergeCell ref="O5:V5"/>
    <mergeCell ref="O9:V9"/>
    <mergeCell ref="I3:J3"/>
    <mergeCell ref="C11:N11"/>
    <mergeCell ref="C13:N13"/>
    <mergeCell ref="AG13:AN13"/>
    <mergeCell ref="AG8:AN8"/>
    <mergeCell ref="AG9:AN9"/>
    <mergeCell ref="AG11:AN11"/>
    <mergeCell ref="O13:V13"/>
    <mergeCell ref="X11:AE11"/>
    <mergeCell ref="O11:V11"/>
    <mergeCell ref="C33:AW33"/>
    <mergeCell ref="B31:AX31"/>
    <mergeCell ref="C15:N15"/>
    <mergeCell ref="C17:N17"/>
    <mergeCell ref="C19:N19"/>
    <mergeCell ref="C21:N21"/>
    <mergeCell ref="C23:N23"/>
    <mergeCell ref="O17:V17"/>
    <mergeCell ref="O15:V15"/>
  </mergeCells>
  <phoneticPr fontId="4" type="noConversion"/>
  <conditionalFormatting sqref="AG13">
    <cfRule type="containsText" dxfId="11" priority="21" operator="containsText" text="FALSE">
      <formula>NOT(ISERROR(SEARCH("FALSE",AG13)))</formula>
    </cfRule>
    <cfRule type="containsText" dxfId="10" priority="22" operator="containsText" text="TRUE">
      <formula>NOT(ISERROR(SEARCH("TRUE",AG13)))</formula>
    </cfRule>
  </conditionalFormatting>
  <conditionalFormatting sqref="AG7:AG8">
    <cfRule type="containsText" dxfId="9" priority="19" operator="containsText" text="INVALID IP ADDRESS">
      <formula>NOT(ISERROR(SEARCH("INVALID IP ADDRESS",AG7)))</formula>
    </cfRule>
  </conditionalFormatting>
  <conditionalFormatting sqref="AG9">
    <cfRule type="containsText" dxfId="8" priority="20" operator="containsText" text="INVALID NETMASK">
      <formula>NOT(ISERROR(SEARCH("INVALID NETMASK",AG9)))</formula>
    </cfRule>
  </conditionalFormatting>
  <conditionalFormatting sqref="O21:AW21">
    <cfRule type="containsText" dxfId="7" priority="12" operator="containsText" text="0">
      <formula>NOT(ISERROR(SEARCH("0",O21)))</formula>
    </cfRule>
    <cfRule type="containsText" dxfId="6" priority="15" operator="containsText" text="1">
      <formula>NOT(ISERROR(SEARCH("1",O21)))</formula>
    </cfRule>
  </conditionalFormatting>
  <conditionalFormatting sqref="AG7">
    <cfRule type="containsText" dxfId="5" priority="18" operator="containsText" text="NETMASK OR CIDR">
      <formula>NOT(ISERROR(SEARCH("NETMASK OR CIDR",AG7)))</formula>
    </cfRule>
  </conditionalFormatting>
  <conditionalFormatting sqref="O21">
    <cfRule type="expression" dxfId="4" priority="2">
      <formula>$BB$33</formula>
    </cfRule>
  </conditionalFormatting>
  <conditionalFormatting sqref="O21:P21">
    <cfRule type="expression" dxfId="3" priority="3">
      <formula>$BB$34</formula>
    </cfRule>
  </conditionalFormatting>
  <conditionalFormatting sqref="O21:Q21">
    <cfRule type="expression" dxfId="2" priority="4">
      <formula>$BB$35</formula>
    </cfRule>
  </conditionalFormatting>
  <conditionalFormatting sqref="O21:R21">
    <cfRule type="expression" dxfId="1" priority="8">
      <formula>$BB$36</formula>
    </cfRule>
    <cfRule type="expression" dxfId="0" priority="9">
      <formula>$BB$37</formula>
    </cfRule>
  </conditionalFormatting>
  <dataValidations count="2">
    <dataValidation type="whole" errorStyle="warning" allowBlank="1" showErrorMessage="1" errorTitle="Invalid Octet Value" error="The value for this octet is between 0 and 255." sqref="I3:J3 L3:M3 O3:P3 R3:S3 AD3:AE3 AG3:AH3 AJ3:AK3 AM3:AN3" xr:uid="{270AAF2F-D762-E74C-9101-4CD6BB7F419B}">
      <formula1>0</formula1>
      <formula2>255</formula2>
    </dataValidation>
    <dataValidation type="whole" errorStyle="warning" allowBlank="1" showErrorMessage="1" errorTitle="Invalid CIDR Mask" error="The CIDR value must be between 0 and 32.  Rever to the &quot;IPv4 CIDR&quot; tab for more information." sqref="U3:V3" xr:uid="{0001E02C-E0EF-BA4A-80A8-121B15D315E5}">
      <formula1>0</formula1>
      <formula2>32</formula2>
    </dataValidation>
  </dataValidations>
  <pageMargins left="0.7" right="0.7" top="0.75" bottom="0.75" header="0.3" footer="0.3"/>
  <ignoredErrors>
    <ignoredError sqref="BB8 BD8 BF8 BH8 BH6 BF6 BD6"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FEDA-3C77-3141-A9CB-1D3F64641576}">
  <dimension ref="A1:C13"/>
  <sheetViews>
    <sheetView workbookViewId="0">
      <selection activeCell="B35" sqref="B35"/>
    </sheetView>
  </sheetViews>
  <sheetFormatPr baseColWidth="10" defaultRowHeight="16" x14ac:dyDescent="0.2"/>
  <cols>
    <col min="1" max="1" width="3.33203125" customWidth="1"/>
    <col min="2" max="2" width="97.6640625" customWidth="1"/>
    <col min="3" max="3" width="3.33203125" customWidth="1"/>
  </cols>
  <sheetData>
    <row r="1" spans="1:3" ht="20" customHeight="1" x14ac:dyDescent="0.2">
      <c r="A1" s="10"/>
      <c r="B1" s="10"/>
      <c r="C1" s="10"/>
    </row>
    <row r="2" spans="1:3" ht="24" x14ac:dyDescent="0.2">
      <c r="A2" s="10"/>
      <c r="B2" s="76" t="s">
        <v>79</v>
      </c>
      <c r="C2" s="10"/>
    </row>
    <row r="3" spans="1:3" x14ac:dyDescent="0.2">
      <c r="A3" s="10"/>
      <c r="B3" s="75"/>
      <c r="C3" s="10"/>
    </row>
    <row r="4" spans="1:3" ht="85" x14ac:dyDescent="0.2">
      <c r="A4" s="10"/>
      <c r="B4" s="77" t="s">
        <v>80</v>
      </c>
      <c r="C4" s="10"/>
    </row>
    <row r="5" spans="1:3" ht="34" x14ac:dyDescent="0.2">
      <c r="A5" s="10"/>
      <c r="B5" s="77" t="s">
        <v>81</v>
      </c>
      <c r="C5" s="10"/>
    </row>
    <row r="6" spans="1:3" ht="78" customHeight="1" x14ac:dyDescent="0.2">
      <c r="A6" s="10"/>
      <c r="B6" s="77" t="s">
        <v>82</v>
      </c>
      <c r="C6" s="10"/>
    </row>
    <row r="7" spans="1:3" ht="43" customHeight="1" x14ac:dyDescent="0.2">
      <c r="A7" s="10"/>
      <c r="B7" s="77" t="s">
        <v>83</v>
      </c>
      <c r="C7" s="10"/>
    </row>
    <row r="8" spans="1:3" ht="51" x14ac:dyDescent="0.2">
      <c r="A8" s="10"/>
      <c r="B8" s="77" t="s">
        <v>84</v>
      </c>
      <c r="C8" s="10"/>
    </row>
    <row r="9" spans="1:3" ht="22" customHeight="1" x14ac:dyDescent="0.2">
      <c r="A9" s="10"/>
      <c r="B9" s="77" t="s">
        <v>85</v>
      </c>
      <c r="C9" s="10"/>
    </row>
    <row r="10" spans="1:3" ht="22" customHeight="1" x14ac:dyDescent="0.2">
      <c r="A10" s="10"/>
      <c r="B10" s="77" t="s">
        <v>86</v>
      </c>
      <c r="C10" s="10"/>
    </row>
    <row r="11" spans="1:3" ht="51" x14ac:dyDescent="0.2">
      <c r="A11" s="10"/>
      <c r="B11" s="77" t="s">
        <v>87</v>
      </c>
      <c r="C11" s="10"/>
    </row>
    <row r="12" spans="1:3" ht="75" customHeight="1" x14ac:dyDescent="0.2">
      <c r="A12" s="10"/>
      <c r="B12" s="77" t="s">
        <v>88</v>
      </c>
      <c r="C12" s="10"/>
    </row>
    <row r="13" spans="1:3" ht="20" customHeight="1" x14ac:dyDescent="0.2">
      <c r="A13" s="10"/>
      <c r="B13" s="10"/>
      <c r="C13" s="10"/>
    </row>
  </sheetData>
  <sheetProtection algorithmName="SHA-512" hashValue="FyPTTfzxQuWDUq2JhyQScOXN6NoKW6bKD35sMljlX/ghXTq7QFsVr50g59MoKv6JQuqYss5yf/EsYm/YR6vdmA==" saltValue="5sR/AgUWlt0V5l3vXUd0iQ==" spinCount="100000" sheet="1" objects="1" scenarios="1"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4B472-0B6C-EF42-B4C9-4D770BFFE292}">
  <dimension ref="A1:E11"/>
  <sheetViews>
    <sheetView workbookViewId="0">
      <selection activeCell="B52" sqref="B52"/>
    </sheetView>
  </sheetViews>
  <sheetFormatPr baseColWidth="10" defaultRowHeight="16" x14ac:dyDescent="0.2"/>
  <cols>
    <col min="1" max="1" width="2.6640625" customWidth="1"/>
    <col min="2" max="2" width="35.6640625" style="127" customWidth="1"/>
    <col min="3" max="3" width="38.1640625" style="127" customWidth="1"/>
    <col min="4" max="4" width="27.33203125" style="127" customWidth="1"/>
    <col min="5" max="5" width="2.6640625" customWidth="1"/>
  </cols>
  <sheetData>
    <row r="1" spans="1:5" ht="17" thickBot="1" x14ac:dyDescent="0.25">
      <c r="A1" s="10"/>
      <c r="B1" s="75"/>
      <c r="C1" s="75"/>
      <c r="D1" s="75"/>
      <c r="E1" s="10"/>
    </row>
    <row r="2" spans="1:5" x14ac:dyDescent="0.2">
      <c r="A2" s="10"/>
      <c r="B2" s="128" t="s">
        <v>139</v>
      </c>
      <c r="C2" s="128" t="s">
        <v>140</v>
      </c>
      <c r="D2" s="128" t="s">
        <v>141</v>
      </c>
      <c r="E2" s="10"/>
    </row>
    <row r="3" spans="1:5" ht="50" customHeight="1" x14ac:dyDescent="0.2">
      <c r="A3" s="10"/>
      <c r="B3" s="131" t="s">
        <v>156</v>
      </c>
      <c r="C3" s="131" t="s">
        <v>155</v>
      </c>
      <c r="D3" s="131" t="s">
        <v>142</v>
      </c>
      <c r="E3" s="10"/>
    </row>
    <row r="4" spans="1:5" ht="50" customHeight="1" x14ac:dyDescent="0.2">
      <c r="A4" s="10"/>
      <c r="B4" s="129" t="s">
        <v>157</v>
      </c>
      <c r="C4" s="129" t="s">
        <v>154</v>
      </c>
      <c r="D4" s="129" t="s">
        <v>143</v>
      </c>
      <c r="E4" s="10"/>
    </row>
    <row r="5" spans="1:5" ht="50" customHeight="1" x14ac:dyDescent="0.2">
      <c r="A5" s="10"/>
      <c r="B5" s="131" t="s">
        <v>158</v>
      </c>
      <c r="C5" s="131" t="s">
        <v>153</v>
      </c>
      <c r="D5" s="131" t="s">
        <v>144</v>
      </c>
      <c r="E5" s="10"/>
    </row>
    <row r="6" spans="1:5" ht="50" customHeight="1" x14ac:dyDescent="0.2">
      <c r="A6" s="10"/>
      <c r="B6" s="129" t="s">
        <v>159</v>
      </c>
      <c r="C6" s="129" t="s">
        <v>152</v>
      </c>
      <c r="D6" s="129" t="s">
        <v>145</v>
      </c>
      <c r="E6" s="10"/>
    </row>
    <row r="7" spans="1:5" ht="50" customHeight="1" x14ac:dyDescent="0.2">
      <c r="A7" s="10"/>
      <c r="B7" s="131" t="s">
        <v>160</v>
      </c>
      <c r="C7" s="131" t="s">
        <v>151</v>
      </c>
      <c r="D7" s="131" t="s">
        <v>146</v>
      </c>
      <c r="E7" s="10"/>
    </row>
    <row r="8" spans="1:5" ht="50" customHeight="1" x14ac:dyDescent="0.2">
      <c r="A8" s="10"/>
      <c r="B8" s="129" t="s">
        <v>161</v>
      </c>
      <c r="C8" s="129" t="s">
        <v>150</v>
      </c>
      <c r="D8" s="129" t="s">
        <v>28</v>
      </c>
      <c r="E8" s="10"/>
    </row>
    <row r="9" spans="1:5" ht="50" customHeight="1" x14ac:dyDescent="0.2">
      <c r="A9" s="10"/>
      <c r="B9" s="131" t="s">
        <v>162</v>
      </c>
      <c r="C9" s="131" t="s">
        <v>149</v>
      </c>
      <c r="D9" s="131" t="s">
        <v>38</v>
      </c>
      <c r="E9" s="10"/>
    </row>
    <row r="10" spans="1:5" ht="50" customHeight="1" thickBot="1" x14ac:dyDescent="0.25">
      <c r="A10" s="10"/>
      <c r="B10" s="130" t="s">
        <v>163</v>
      </c>
      <c r="C10" s="130" t="s">
        <v>147</v>
      </c>
      <c r="D10" s="130" t="s">
        <v>148</v>
      </c>
      <c r="E10" s="10"/>
    </row>
    <row r="11" spans="1:5" x14ac:dyDescent="0.2">
      <c r="A11" s="10"/>
      <c r="B11" s="75"/>
      <c r="C11" s="75"/>
      <c r="D11" s="75"/>
      <c r="E11" s="10"/>
    </row>
  </sheetData>
  <sheetProtection algorithmName="SHA-512" hashValue="qqDdi/k04Vu0e8/bPE756ZH1uMS/+VkefwKSkjsU7ueDN7krdudfUa78by2nM4qW/Y75Nhc4kpX/fUnS1JdmkQ==" saltValue="DRh3YM/qcNwGnq1PZAY1/g==" spinCount="100000" sheet="1" objects="1" scenarios="1" selectLockedCells="1" selectUn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75C61-4EC8-C343-8D55-590DF3A0DEE1}">
  <dimension ref="B2:Z77"/>
  <sheetViews>
    <sheetView zoomScaleNormal="100" workbookViewId="0">
      <selection activeCell="B70" sqref="B70:Y70"/>
    </sheetView>
  </sheetViews>
  <sheetFormatPr baseColWidth="10" defaultRowHeight="16" customHeight="1" x14ac:dyDescent="0.2"/>
  <cols>
    <col min="1" max="1" width="2.6640625" style="80" customWidth="1"/>
    <col min="2" max="26" width="10.83203125" style="80"/>
    <col min="27" max="27" width="2.6640625" style="80" customWidth="1"/>
    <col min="28" max="16384" width="10.83203125" style="80"/>
  </cols>
  <sheetData>
    <row r="2" spans="2:26" ht="22" customHeight="1" x14ac:dyDescent="0.2">
      <c r="B2" s="81" t="s">
        <v>96</v>
      </c>
      <c r="C2" s="82"/>
      <c r="D2" s="82"/>
      <c r="E2" s="82"/>
      <c r="F2" s="82"/>
      <c r="G2" s="82"/>
      <c r="H2" s="82"/>
      <c r="I2" s="82"/>
      <c r="J2" s="82"/>
      <c r="K2" s="82"/>
      <c r="L2" s="82"/>
      <c r="M2" s="82"/>
      <c r="N2" s="82"/>
      <c r="O2" s="82"/>
      <c r="P2" s="82"/>
      <c r="Q2" s="82"/>
      <c r="R2" s="82"/>
      <c r="S2" s="82"/>
      <c r="T2" s="83"/>
      <c r="U2" s="83"/>
      <c r="V2" s="83"/>
      <c r="W2" s="83"/>
      <c r="X2" s="83"/>
      <c r="Y2" s="83"/>
      <c r="Z2" s="83"/>
    </row>
    <row r="3" spans="2:26" ht="16" customHeight="1" x14ac:dyDescent="0.2">
      <c r="B3" s="84" t="s">
        <v>97</v>
      </c>
      <c r="C3" s="82"/>
      <c r="D3" s="82"/>
      <c r="E3" s="82"/>
      <c r="F3" s="82"/>
      <c r="G3" s="82"/>
      <c r="H3" s="82"/>
      <c r="I3" s="82"/>
      <c r="J3" s="82"/>
      <c r="K3" s="82"/>
      <c r="L3" s="82"/>
      <c r="M3" s="82"/>
      <c r="N3" s="82"/>
      <c r="O3" s="82"/>
      <c r="P3" s="82"/>
      <c r="Q3" s="82"/>
      <c r="R3" s="82"/>
      <c r="S3" s="82"/>
      <c r="T3" s="83"/>
      <c r="U3" s="83"/>
      <c r="V3" s="83"/>
      <c r="W3" s="83"/>
      <c r="X3" s="83"/>
      <c r="Y3" s="83"/>
      <c r="Z3" s="83"/>
    </row>
    <row r="4" spans="2:26" ht="16" customHeight="1" x14ac:dyDescent="0.2">
      <c r="B4" s="84" t="s">
        <v>98</v>
      </c>
      <c r="C4" s="82"/>
      <c r="D4" s="82"/>
      <c r="E4" s="82"/>
      <c r="F4" s="82"/>
      <c r="G4" s="82"/>
      <c r="H4" s="82"/>
      <c r="I4" s="82"/>
      <c r="J4" s="82"/>
      <c r="K4" s="82"/>
      <c r="L4" s="82"/>
      <c r="M4" s="82"/>
      <c r="N4" s="82"/>
      <c r="O4" s="82"/>
      <c r="P4" s="82"/>
      <c r="Q4" s="82"/>
      <c r="R4" s="82"/>
      <c r="S4" s="82"/>
      <c r="T4" s="83"/>
      <c r="U4" s="83"/>
      <c r="V4" s="83"/>
      <c r="W4" s="83"/>
      <c r="X4" s="83"/>
      <c r="Y4" s="83"/>
      <c r="Z4" s="83"/>
    </row>
    <row r="5" spans="2:26" ht="16" customHeight="1" x14ac:dyDescent="0.2">
      <c r="B5" s="85" t="s">
        <v>130</v>
      </c>
      <c r="C5" s="82"/>
      <c r="D5" s="82"/>
      <c r="E5" s="82"/>
      <c r="F5" s="82"/>
      <c r="G5" s="82"/>
      <c r="H5" s="82"/>
      <c r="I5" s="82"/>
      <c r="J5" s="82"/>
      <c r="K5" s="82"/>
      <c r="L5" s="82"/>
      <c r="M5" s="82"/>
      <c r="N5" s="82"/>
      <c r="O5" s="82"/>
      <c r="P5" s="82"/>
      <c r="Q5" s="82"/>
      <c r="R5" s="82"/>
      <c r="S5" s="82"/>
      <c r="T5" s="83"/>
      <c r="U5" s="83"/>
      <c r="V5" s="83"/>
      <c r="W5" s="83"/>
      <c r="X5" s="83"/>
      <c r="Y5" s="83"/>
      <c r="Z5" s="83"/>
    </row>
    <row r="6" spans="2:26" ht="16" customHeight="1" x14ac:dyDescent="0.2">
      <c r="B6" s="85" t="s">
        <v>131</v>
      </c>
      <c r="C6" s="82"/>
      <c r="D6" s="82"/>
      <c r="E6" s="82"/>
      <c r="F6" s="82"/>
      <c r="G6" s="82"/>
      <c r="H6" s="82"/>
      <c r="I6" s="82"/>
      <c r="J6" s="82"/>
      <c r="K6" s="82"/>
      <c r="L6" s="82"/>
      <c r="M6" s="82"/>
      <c r="N6" s="82"/>
      <c r="O6" s="82"/>
      <c r="P6" s="82"/>
      <c r="Q6" s="82"/>
      <c r="R6" s="82"/>
      <c r="S6" s="82"/>
      <c r="T6" s="83"/>
      <c r="U6" s="83"/>
      <c r="V6" s="83"/>
      <c r="W6" s="83"/>
      <c r="X6" s="83"/>
      <c r="Y6" s="83"/>
      <c r="Z6" s="83"/>
    </row>
    <row r="7" spans="2:26" ht="16" customHeight="1" x14ac:dyDescent="0.2">
      <c r="B7" s="85" t="s">
        <v>132</v>
      </c>
      <c r="C7" s="82"/>
      <c r="D7" s="82"/>
      <c r="E7" s="82"/>
      <c r="F7" s="82"/>
      <c r="G7" s="82"/>
      <c r="H7" s="82"/>
      <c r="I7" s="82"/>
      <c r="J7" s="82"/>
      <c r="K7" s="82"/>
      <c r="L7" s="82"/>
      <c r="M7" s="82"/>
      <c r="N7" s="82"/>
      <c r="O7" s="82"/>
      <c r="P7" s="82"/>
      <c r="Q7" s="82"/>
      <c r="R7" s="82"/>
      <c r="S7" s="82"/>
      <c r="T7" s="83"/>
      <c r="U7" s="83"/>
      <c r="V7" s="83"/>
      <c r="W7" s="83"/>
      <c r="X7" s="83"/>
      <c r="Y7" s="83"/>
      <c r="Z7" s="83"/>
    </row>
    <row r="8" spans="2:26" ht="16" customHeight="1" x14ac:dyDescent="0.2">
      <c r="B8" s="84"/>
      <c r="C8" s="82"/>
      <c r="D8" s="82"/>
      <c r="E8" s="82"/>
      <c r="F8" s="82"/>
      <c r="G8" s="82"/>
      <c r="H8" s="82"/>
      <c r="I8" s="82"/>
      <c r="J8" s="82"/>
      <c r="K8" s="82"/>
      <c r="L8" s="82"/>
      <c r="M8" s="82"/>
      <c r="N8" s="82"/>
      <c r="O8" s="82"/>
      <c r="P8" s="82"/>
      <c r="Q8" s="82"/>
      <c r="R8" s="82"/>
      <c r="S8" s="82"/>
      <c r="T8" s="83"/>
      <c r="U8" s="83"/>
      <c r="V8" s="83"/>
      <c r="W8" s="83"/>
      <c r="X8" s="83"/>
      <c r="Y8" s="83"/>
      <c r="Z8" s="83"/>
    </row>
    <row r="9" spans="2:26" ht="16" customHeight="1" x14ac:dyDescent="0.2">
      <c r="B9" s="86" t="s">
        <v>99</v>
      </c>
      <c r="C9" s="82"/>
      <c r="D9" s="82"/>
      <c r="E9" s="82"/>
      <c r="F9" s="82"/>
      <c r="G9" s="82"/>
      <c r="H9" s="82"/>
      <c r="I9" s="82"/>
      <c r="J9" s="82"/>
      <c r="K9" s="82"/>
      <c r="L9" s="82"/>
      <c r="M9" s="82"/>
      <c r="N9" s="82"/>
      <c r="O9" s="82"/>
      <c r="P9" s="82"/>
      <c r="Q9" s="82"/>
      <c r="R9" s="82"/>
      <c r="S9" s="82"/>
      <c r="T9" s="83"/>
      <c r="U9" s="83"/>
      <c r="V9" s="83"/>
      <c r="W9" s="83"/>
      <c r="X9" s="83"/>
      <c r="Y9" s="83"/>
      <c r="Z9" s="83"/>
    </row>
    <row r="10" spans="2:26" s="133" customFormat="1" ht="32" customHeight="1" x14ac:dyDescent="0.2">
      <c r="B10" s="134" t="s">
        <v>100</v>
      </c>
      <c r="C10" s="134"/>
      <c r="D10" s="134"/>
      <c r="E10" s="134"/>
      <c r="F10" s="134"/>
      <c r="G10" s="134"/>
      <c r="H10" s="134"/>
      <c r="I10" s="134"/>
      <c r="J10" s="134"/>
      <c r="K10" s="134"/>
      <c r="L10" s="134"/>
      <c r="M10" s="134"/>
      <c r="N10" s="134"/>
      <c r="O10" s="134"/>
      <c r="P10" s="134"/>
      <c r="Q10" s="134"/>
      <c r="R10" s="134"/>
      <c r="S10" s="134"/>
      <c r="T10" s="134"/>
      <c r="U10" s="134"/>
      <c r="V10" s="134"/>
      <c r="W10" s="134"/>
      <c r="X10" s="134"/>
      <c r="Y10" s="132"/>
      <c r="Z10" s="132"/>
    </row>
    <row r="11" spans="2:26" ht="16" customHeight="1" x14ac:dyDescent="0.2">
      <c r="B11" s="84"/>
      <c r="C11" s="82"/>
      <c r="D11" s="82"/>
      <c r="E11" s="82"/>
      <c r="F11" s="82"/>
      <c r="G11" s="82"/>
      <c r="H11" s="82"/>
      <c r="I11" s="82"/>
      <c r="J11" s="82"/>
      <c r="K11" s="82"/>
      <c r="L11" s="82"/>
      <c r="M11" s="82"/>
      <c r="N11" s="82"/>
      <c r="O11" s="82"/>
      <c r="P11" s="82"/>
      <c r="Q11" s="82"/>
      <c r="R11" s="82"/>
      <c r="S11" s="82"/>
      <c r="T11" s="83"/>
      <c r="U11" s="83"/>
      <c r="V11" s="83"/>
      <c r="W11" s="83"/>
      <c r="X11" s="83"/>
      <c r="Y11" s="83"/>
      <c r="Z11" s="83"/>
    </row>
    <row r="12" spans="2:26" ht="16" customHeight="1" x14ac:dyDescent="0.2">
      <c r="B12" s="84" t="s">
        <v>101</v>
      </c>
      <c r="C12" s="82"/>
      <c r="D12" s="82"/>
      <c r="E12" s="82"/>
      <c r="F12" s="82"/>
      <c r="G12" s="82"/>
      <c r="H12" s="82"/>
      <c r="I12" s="82"/>
      <c r="J12" s="82"/>
      <c r="K12" s="82"/>
      <c r="L12" s="82"/>
      <c r="M12" s="82"/>
      <c r="N12" s="82"/>
      <c r="O12" s="82"/>
      <c r="P12" s="82"/>
      <c r="Q12" s="82"/>
      <c r="R12" s="82"/>
      <c r="S12" s="82"/>
      <c r="T12" s="83"/>
      <c r="U12" s="83"/>
      <c r="V12" s="83"/>
      <c r="W12" s="83"/>
      <c r="X12" s="83"/>
      <c r="Y12" s="83"/>
      <c r="Z12" s="83"/>
    </row>
    <row r="13" spans="2:26" ht="16" customHeight="1" x14ac:dyDescent="0.2">
      <c r="B13" s="84"/>
      <c r="C13" s="82"/>
      <c r="D13" s="82"/>
      <c r="E13" s="82"/>
      <c r="F13" s="82"/>
      <c r="G13" s="82"/>
      <c r="H13" s="82"/>
      <c r="I13" s="82"/>
      <c r="J13" s="82"/>
      <c r="K13" s="82"/>
      <c r="L13" s="82"/>
      <c r="M13" s="82"/>
      <c r="N13" s="82"/>
      <c r="O13" s="82"/>
      <c r="P13" s="82"/>
      <c r="Q13" s="82"/>
      <c r="R13" s="82"/>
      <c r="S13" s="82"/>
      <c r="T13" s="83"/>
      <c r="U13" s="83"/>
      <c r="V13" s="83"/>
      <c r="W13" s="83"/>
      <c r="X13" s="83"/>
      <c r="Y13" s="83"/>
      <c r="Z13" s="83"/>
    </row>
    <row r="14" spans="2:26" ht="16" customHeight="1" x14ac:dyDescent="0.2">
      <c r="B14" s="84" t="s">
        <v>102</v>
      </c>
      <c r="C14" s="82"/>
      <c r="D14" s="82"/>
      <c r="E14" s="82"/>
      <c r="F14" s="82"/>
      <c r="G14" s="82"/>
      <c r="H14" s="82"/>
      <c r="I14" s="82"/>
      <c r="J14" s="82"/>
      <c r="K14" s="82"/>
      <c r="L14" s="82"/>
      <c r="M14" s="82"/>
      <c r="N14" s="82"/>
      <c r="O14" s="82"/>
      <c r="P14" s="82"/>
      <c r="Q14" s="82"/>
      <c r="R14" s="82"/>
      <c r="S14" s="82"/>
      <c r="T14" s="83"/>
      <c r="U14" s="83"/>
      <c r="V14" s="83"/>
      <c r="W14" s="83"/>
      <c r="X14" s="83"/>
      <c r="Y14" s="83"/>
      <c r="Z14" s="83"/>
    </row>
    <row r="15" spans="2:26" ht="16" customHeight="1" x14ac:dyDescent="0.2">
      <c r="B15" s="85" t="s">
        <v>133</v>
      </c>
      <c r="C15" s="82"/>
      <c r="D15" s="82"/>
      <c r="E15" s="82"/>
      <c r="F15" s="82"/>
      <c r="G15" s="82"/>
      <c r="H15" s="82"/>
      <c r="I15" s="82"/>
      <c r="J15" s="82"/>
      <c r="K15" s="82"/>
      <c r="L15" s="82"/>
      <c r="M15" s="82"/>
      <c r="N15" s="82"/>
      <c r="O15" s="82"/>
      <c r="P15" s="82"/>
      <c r="Q15" s="82"/>
      <c r="R15" s="82"/>
      <c r="S15" s="82"/>
      <c r="T15" s="83"/>
      <c r="U15" s="83"/>
      <c r="V15" s="83"/>
      <c r="W15" s="83"/>
      <c r="X15" s="83"/>
      <c r="Y15" s="83"/>
      <c r="Z15" s="83"/>
    </row>
    <row r="16" spans="2:26" ht="16" customHeight="1" x14ac:dyDescent="0.2">
      <c r="B16" s="85" t="s">
        <v>134</v>
      </c>
      <c r="C16" s="82"/>
      <c r="D16" s="82"/>
      <c r="E16" s="82"/>
      <c r="F16" s="82"/>
      <c r="G16" s="82"/>
      <c r="H16" s="82"/>
      <c r="I16" s="82"/>
      <c r="J16" s="82"/>
      <c r="K16" s="82"/>
      <c r="L16" s="82"/>
      <c r="M16" s="82"/>
      <c r="N16" s="82"/>
      <c r="O16" s="82"/>
      <c r="P16" s="82"/>
      <c r="Q16" s="82"/>
      <c r="R16" s="82"/>
      <c r="S16" s="82"/>
      <c r="T16" s="83"/>
      <c r="U16" s="83"/>
      <c r="V16" s="83"/>
      <c r="W16" s="83"/>
      <c r="X16" s="83"/>
      <c r="Y16" s="83"/>
      <c r="Z16" s="83"/>
    </row>
    <row r="17" spans="2:26" ht="16" customHeight="1" x14ac:dyDescent="0.2">
      <c r="B17" s="84"/>
      <c r="C17" s="82"/>
      <c r="D17" s="82"/>
      <c r="E17" s="82"/>
      <c r="F17" s="82"/>
      <c r="G17" s="82"/>
      <c r="H17" s="82"/>
      <c r="I17" s="82"/>
      <c r="J17" s="82"/>
      <c r="K17" s="82"/>
      <c r="L17" s="82"/>
      <c r="M17" s="82"/>
      <c r="N17" s="82"/>
      <c r="O17" s="82"/>
      <c r="P17" s="82"/>
      <c r="Q17" s="82"/>
      <c r="R17" s="82"/>
      <c r="S17" s="82"/>
      <c r="T17" s="83"/>
      <c r="U17" s="83"/>
      <c r="V17" s="83"/>
      <c r="W17" s="83"/>
      <c r="X17" s="83"/>
      <c r="Y17" s="83"/>
      <c r="Z17" s="83"/>
    </row>
    <row r="18" spans="2:26" ht="16" customHeight="1" x14ac:dyDescent="0.2">
      <c r="B18" s="84" t="s">
        <v>103</v>
      </c>
      <c r="C18" s="82"/>
      <c r="D18" s="82"/>
      <c r="E18" s="82"/>
      <c r="F18" s="82"/>
      <c r="G18" s="82"/>
      <c r="H18" s="82"/>
      <c r="I18" s="82"/>
      <c r="J18" s="82"/>
      <c r="K18" s="82"/>
      <c r="L18" s="82"/>
      <c r="M18" s="82"/>
      <c r="N18" s="82"/>
      <c r="O18" s="82"/>
      <c r="P18" s="82"/>
      <c r="Q18" s="82"/>
      <c r="R18" s="82"/>
      <c r="S18" s="82"/>
      <c r="T18" s="83"/>
      <c r="U18" s="83"/>
      <c r="V18" s="83"/>
      <c r="W18" s="83"/>
      <c r="X18" s="83"/>
      <c r="Y18" s="83"/>
      <c r="Z18" s="83"/>
    </row>
    <row r="19" spans="2:26" ht="16" customHeight="1" x14ac:dyDescent="0.2">
      <c r="B19" s="84"/>
      <c r="C19" s="82"/>
      <c r="D19" s="82"/>
      <c r="E19" s="82"/>
      <c r="F19" s="82"/>
      <c r="G19" s="82"/>
      <c r="H19" s="82"/>
      <c r="I19" s="82"/>
      <c r="J19" s="82"/>
      <c r="K19" s="82"/>
      <c r="L19" s="82"/>
      <c r="M19" s="82"/>
      <c r="N19" s="82"/>
      <c r="O19" s="82"/>
      <c r="P19" s="82"/>
      <c r="Q19" s="82"/>
      <c r="R19" s="82"/>
      <c r="S19" s="82"/>
      <c r="T19" s="83"/>
      <c r="U19" s="83"/>
      <c r="V19" s="83"/>
      <c r="W19" s="83"/>
      <c r="X19" s="83"/>
      <c r="Y19" s="83"/>
      <c r="Z19" s="83"/>
    </row>
    <row r="20" spans="2:26" ht="16" customHeight="1" x14ac:dyDescent="0.2">
      <c r="B20" s="86" t="s">
        <v>104</v>
      </c>
      <c r="C20" s="82"/>
      <c r="D20" s="82"/>
      <c r="E20" s="82"/>
      <c r="F20" s="82"/>
      <c r="G20" s="82"/>
      <c r="H20" s="82"/>
      <c r="I20" s="82"/>
      <c r="J20" s="82"/>
      <c r="K20" s="82"/>
      <c r="L20" s="82"/>
      <c r="M20" s="82"/>
      <c r="N20" s="82"/>
      <c r="O20" s="82"/>
      <c r="P20" s="82"/>
      <c r="Q20" s="82"/>
      <c r="R20" s="82"/>
      <c r="S20" s="82"/>
      <c r="T20" s="83"/>
      <c r="U20" s="83"/>
      <c r="V20" s="83"/>
      <c r="W20" s="83"/>
      <c r="X20" s="83"/>
      <c r="Y20" s="83"/>
      <c r="Z20" s="83"/>
    </row>
    <row r="21" spans="2:26" ht="16" customHeight="1" x14ac:dyDescent="0.2">
      <c r="B21" s="134" t="s">
        <v>105</v>
      </c>
      <c r="C21" s="134"/>
      <c r="D21" s="134"/>
      <c r="E21" s="134"/>
      <c r="F21" s="134"/>
      <c r="G21" s="134"/>
      <c r="H21" s="134"/>
      <c r="I21" s="134"/>
      <c r="J21" s="134"/>
      <c r="K21" s="134"/>
      <c r="L21" s="134"/>
      <c r="M21" s="134"/>
      <c r="N21" s="134"/>
      <c r="O21" s="134"/>
      <c r="P21" s="134"/>
      <c r="Q21" s="134"/>
      <c r="R21" s="134"/>
      <c r="S21" s="134"/>
      <c r="T21" s="134"/>
      <c r="U21" s="134"/>
      <c r="V21" s="134"/>
      <c r="W21" s="134"/>
      <c r="X21" s="134"/>
      <c r="Y21" s="83"/>
      <c r="Z21" s="83"/>
    </row>
    <row r="22" spans="2:26" ht="16" customHeight="1" x14ac:dyDescent="0.2">
      <c r="B22" s="84"/>
      <c r="C22" s="82"/>
      <c r="D22" s="82"/>
      <c r="E22" s="82"/>
      <c r="F22" s="82"/>
      <c r="G22" s="82"/>
      <c r="H22" s="82"/>
      <c r="I22" s="82"/>
      <c r="J22" s="82"/>
      <c r="K22" s="82"/>
      <c r="L22" s="82"/>
      <c r="M22" s="82"/>
      <c r="N22" s="82"/>
      <c r="O22" s="82"/>
      <c r="P22" s="82"/>
      <c r="Q22" s="82"/>
      <c r="R22" s="82"/>
      <c r="S22" s="82"/>
      <c r="T22" s="83"/>
      <c r="U22" s="83"/>
      <c r="V22" s="83"/>
      <c r="W22" s="83"/>
      <c r="X22" s="83"/>
      <c r="Y22" s="83"/>
      <c r="Z22" s="83"/>
    </row>
    <row r="23" spans="2:26" ht="16" customHeight="1" x14ac:dyDescent="0.2">
      <c r="B23" s="84" t="s">
        <v>106</v>
      </c>
      <c r="C23" s="82"/>
      <c r="D23" s="82"/>
      <c r="E23" s="82"/>
      <c r="F23" s="82"/>
      <c r="G23" s="82"/>
      <c r="H23" s="82"/>
      <c r="I23" s="82"/>
      <c r="J23" s="82"/>
      <c r="K23" s="82"/>
      <c r="L23" s="82"/>
      <c r="M23" s="82"/>
      <c r="N23" s="82"/>
      <c r="O23" s="82"/>
      <c r="P23" s="82"/>
      <c r="Q23" s="82"/>
      <c r="R23" s="82"/>
      <c r="S23" s="82"/>
      <c r="T23" s="83"/>
      <c r="U23" s="83"/>
      <c r="V23" s="83"/>
      <c r="W23" s="83"/>
      <c r="X23" s="83"/>
      <c r="Y23" s="83"/>
      <c r="Z23" s="83"/>
    </row>
    <row r="24" spans="2:26" ht="16" customHeight="1" x14ac:dyDescent="0.2">
      <c r="B24" s="84"/>
      <c r="C24" s="82"/>
      <c r="D24" s="82"/>
      <c r="E24" s="82"/>
      <c r="F24" s="82"/>
      <c r="G24" s="82"/>
      <c r="H24" s="82"/>
      <c r="I24" s="82"/>
      <c r="J24" s="82"/>
      <c r="K24" s="82"/>
      <c r="L24" s="82"/>
      <c r="M24" s="82"/>
      <c r="N24" s="82"/>
      <c r="O24" s="82"/>
      <c r="P24" s="82"/>
      <c r="Q24" s="82"/>
      <c r="R24" s="82"/>
      <c r="S24" s="82"/>
      <c r="T24" s="83"/>
      <c r="U24" s="83"/>
      <c r="V24" s="83"/>
      <c r="W24" s="83"/>
      <c r="X24" s="83"/>
      <c r="Y24" s="83"/>
      <c r="Z24" s="83"/>
    </row>
    <row r="25" spans="2:26" ht="16" customHeight="1" x14ac:dyDescent="0.2">
      <c r="B25" s="86" t="s">
        <v>107</v>
      </c>
      <c r="C25" s="82"/>
      <c r="D25" s="82"/>
      <c r="E25" s="82"/>
      <c r="F25" s="82"/>
      <c r="G25" s="82"/>
      <c r="H25" s="82"/>
      <c r="I25" s="82"/>
      <c r="J25" s="82"/>
      <c r="K25" s="82"/>
      <c r="L25" s="82"/>
      <c r="M25" s="82"/>
      <c r="N25" s="82"/>
      <c r="O25" s="82"/>
      <c r="P25" s="82"/>
      <c r="Q25" s="82"/>
      <c r="R25" s="82"/>
      <c r="S25" s="82"/>
      <c r="T25" s="83"/>
      <c r="U25" s="83"/>
      <c r="V25" s="83"/>
      <c r="W25" s="83"/>
      <c r="X25" s="83"/>
      <c r="Y25" s="83"/>
      <c r="Z25" s="83"/>
    </row>
    <row r="26" spans="2:26" ht="32" customHeight="1" x14ac:dyDescent="0.2">
      <c r="B26" s="134" t="s">
        <v>108</v>
      </c>
      <c r="C26" s="134"/>
      <c r="D26" s="134"/>
      <c r="E26" s="134"/>
      <c r="F26" s="134"/>
      <c r="G26" s="134"/>
      <c r="H26" s="134"/>
      <c r="I26" s="134"/>
      <c r="J26" s="134"/>
      <c r="K26" s="134"/>
      <c r="L26" s="134"/>
      <c r="M26" s="134"/>
      <c r="N26" s="134"/>
      <c r="O26" s="134"/>
      <c r="P26" s="134"/>
      <c r="Q26" s="134"/>
      <c r="R26" s="134"/>
      <c r="S26" s="134"/>
      <c r="T26" s="134"/>
      <c r="U26" s="134"/>
      <c r="V26" s="134"/>
      <c r="W26" s="134"/>
      <c r="X26" s="134"/>
      <c r="Y26" s="83"/>
      <c r="Z26" s="83"/>
    </row>
    <row r="27" spans="2:26" ht="16" customHeight="1" x14ac:dyDescent="0.2">
      <c r="B27" s="84"/>
      <c r="C27" s="82"/>
      <c r="D27" s="82"/>
      <c r="E27" s="82"/>
      <c r="F27" s="82"/>
      <c r="G27" s="82"/>
      <c r="H27" s="82"/>
      <c r="I27" s="82"/>
      <c r="J27" s="82"/>
      <c r="K27" s="82"/>
      <c r="L27" s="82"/>
      <c r="M27" s="82"/>
      <c r="N27" s="82"/>
      <c r="O27" s="82"/>
      <c r="P27" s="82"/>
      <c r="Q27" s="82"/>
      <c r="R27" s="82"/>
      <c r="S27" s="82"/>
      <c r="T27" s="83"/>
      <c r="U27" s="83"/>
      <c r="V27" s="83"/>
      <c r="W27" s="83"/>
      <c r="X27" s="83"/>
      <c r="Y27" s="83"/>
      <c r="Z27" s="83"/>
    </row>
    <row r="28" spans="2:26" ht="16" customHeight="1" x14ac:dyDescent="0.2">
      <c r="B28" s="84" t="s">
        <v>109</v>
      </c>
      <c r="C28" s="82"/>
      <c r="D28" s="82"/>
      <c r="E28" s="82"/>
      <c r="F28" s="82"/>
      <c r="G28" s="82"/>
      <c r="H28" s="82"/>
      <c r="I28" s="82"/>
      <c r="J28" s="82"/>
      <c r="K28" s="82"/>
      <c r="L28" s="82"/>
      <c r="M28" s="82"/>
      <c r="N28" s="82"/>
      <c r="O28" s="82"/>
      <c r="P28" s="82"/>
      <c r="Q28" s="82"/>
      <c r="R28" s="82"/>
      <c r="S28" s="82"/>
      <c r="T28" s="83"/>
      <c r="U28" s="83"/>
      <c r="V28" s="83"/>
      <c r="W28" s="83"/>
      <c r="X28" s="83"/>
      <c r="Y28" s="83"/>
      <c r="Z28" s="83"/>
    </row>
    <row r="29" spans="2:26" ht="16" customHeight="1" x14ac:dyDescent="0.2">
      <c r="B29" s="84"/>
      <c r="C29" s="82"/>
      <c r="D29" s="82"/>
      <c r="E29" s="82"/>
      <c r="F29" s="82"/>
      <c r="G29" s="82"/>
      <c r="H29" s="82"/>
      <c r="I29" s="82"/>
      <c r="J29" s="82"/>
      <c r="K29" s="82"/>
      <c r="L29" s="82"/>
      <c r="M29" s="82"/>
      <c r="N29" s="82"/>
      <c r="O29" s="82"/>
      <c r="P29" s="82"/>
      <c r="Q29" s="82"/>
      <c r="R29" s="82"/>
      <c r="S29" s="82"/>
      <c r="T29" s="83"/>
      <c r="U29" s="83"/>
      <c r="V29" s="83"/>
      <c r="W29" s="83"/>
      <c r="X29" s="83"/>
      <c r="Y29" s="83"/>
      <c r="Z29" s="83"/>
    </row>
    <row r="30" spans="2:26" ht="16" customHeight="1" x14ac:dyDescent="0.2">
      <c r="B30" s="86" t="s">
        <v>110</v>
      </c>
      <c r="C30" s="82"/>
      <c r="D30" s="82"/>
      <c r="E30" s="82"/>
      <c r="F30" s="82"/>
      <c r="G30" s="82"/>
      <c r="H30" s="82"/>
      <c r="I30" s="82"/>
      <c r="J30" s="82"/>
      <c r="K30" s="82"/>
      <c r="L30" s="82"/>
      <c r="M30" s="82"/>
      <c r="N30" s="82"/>
      <c r="O30" s="82"/>
      <c r="P30" s="82"/>
      <c r="Q30" s="82"/>
      <c r="R30" s="82"/>
      <c r="S30" s="82"/>
      <c r="T30" s="83"/>
      <c r="U30" s="83"/>
      <c r="V30" s="83"/>
      <c r="W30" s="83"/>
      <c r="X30" s="83"/>
      <c r="Y30" s="83"/>
      <c r="Z30" s="83"/>
    </row>
    <row r="31" spans="2:26" ht="16" customHeight="1" x14ac:dyDescent="0.2">
      <c r="B31" s="84" t="s">
        <v>111</v>
      </c>
      <c r="C31" s="82"/>
      <c r="D31" s="82"/>
      <c r="E31" s="82"/>
      <c r="F31" s="82"/>
      <c r="G31" s="82"/>
      <c r="H31" s="82"/>
      <c r="I31" s="82"/>
      <c r="J31" s="82"/>
      <c r="K31" s="82"/>
      <c r="L31" s="82"/>
      <c r="M31" s="82"/>
      <c r="N31" s="82"/>
      <c r="O31" s="82"/>
      <c r="P31" s="82"/>
      <c r="Q31" s="82"/>
      <c r="R31" s="82"/>
      <c r="S31" s="82"/>
      <c r="T31" s="83"/>
      <c r="U31" s="83"/>
      <c r="V31" s="83"/>
      <c r="W31" s="83"/>
      <c r="X31" s="83"/>
      <c r="Y31" s="83"/>
      <c r="Z31" s="83"/>
    </row>
    <row r="32" spans="2:26" ht="16" customHeight="1" x14ac:dyDescent="0.2">
      <c r="B32" s="84"/>
      <c r="C32" s="82"/>
      <c r="D32" s="82"/>
      <c r="E32" s="82"/>
      <c r="F32" s="82"/>
      <c r="G32" s="82"/>
      <c r="H32" s="82"/>
      <c r="I32" s="82"/>
      <c r="J32" s="82"/>
      <c r="K32" s="82"/>
      <c r="L32" s="82"/>
      <c r="M32" s="82"/>
      <c r="N32" s="82"/>
      <c r="O32" s="82"/>
      <c r="P32" s="82"/>
      <c r="Q32" s="82"/>
      <c r="R32" s="82"/>
      <c r="S32" s="82"/>
      <c r="T32" s="83"/>
      <c r="U32" s="83"/>
      <c r="V32" s="83"/>
      <c r="W32" s="83"/>
      <c r="X32" s="83"/>
      <c r="Y32" s="83"/>
      <c r="Z32" s="83"/>
    </row>
    <row r="33" spans="2:26" ht="16" customHeight="1" x14ac:dyDescent="0.2">
      <c r="B33" s="84" t="s">
        <v>112</v>
      </c>
      <c r="C33" s="82"/>
      <c r="D33" s="82"/>
      <c r="E33" s="82"/>
      <c r="F33" s="82"/>
      <c r="G33" s="82"/>
      <c r="H33" s="82"/>
      <c r="I33" s="82"/>
      <c r="J33" s="82"/>
      <c r="K33" s="82"/>
      <c r="L33" s="82"/>
      <c r="M33" s="82"/>
      <c r="N33" s="82"/>
      <c r="O33" s="82"/>
      <c r="P33" s="82"/>
      <c r="Q33" s="82"/>
      <c r="R33" s="82"/>
      <c r="S33" s="82"/>
      <c r="T33" s="83"/>
      <c r="U33" s="83"/>
      <c r="V33" s="83"/>
      <c r="W33" s="83"/>
      <c r="X33" s="83"/>
      <c r="Y33" s="83"/>
      <c r="Z33" s="83"/>
    </row>
    <row r="34" spans="2:26" ht="16" customHeight="1" x14ac:dyDescent="0.2">
      <c r="B34" s="84"/>
      <c r="C34" s="82"/>
      <c r="D34" s="82"/>
      <c r="E34" s="82"/>
      <c r="F34" s="82"/>
      <c r="G34" s="82"/>
      <c r="H34" s="82"/>
      <c r="I34" s="82"/>
      <c r="J34" s="82"/>
      <c r="K34" s="82"/>
      <c r="L34" s="82"/>
      <c r="M34" s="82"/>
      <c r="N34" s="82"/>
      <c r="O34" s="82"/>
      <c r="P34" s="82"/>
      <c r="Q34" s="82"/>
      <c r="R34" s="82"/>
      <c r="S34" s="82"/>
      <c r="T34" s="83"/>
      <c r="U34" s="83"/>
      <c r="V34" s="83"/>
      <c r="W34" s="83"/>
      <c r="X34" s="83"/>
      <c r="Y34" s="83"/>
      <c r="Z34" s="83"/>
    </row>
    <row r="35" spans="2:26" ht="16" customHeight="1" x14ac:dyDescent="0.2">
      <c r="B35" s="84" t="s">
        <v>113</v>
      </c>
      <c r="C35" s="82"/>
      <c r="D35" s="82"/>
      <c r="E35" s="82"/>
      <c r="F35" s="82"/>
      <c r="G35" s="82"/>
      <c r="H35" s="82"/>
      <c r="I35" s="82"/>
      <c r="J35" s="82"/>
      <c r="K35" s="82"/>
      <c r="L35" s="82"/>
      <c r="M35" s="82"/>
      <c r="N35" s="82"/>
      <c r="O35" s="82"/>
      <c r="P35" s="82"/>
      <c r="Q35" s="82"/>
      <c r="R35" s="82"/>
      <c r="S35" s="82"/>
      <c r="T35" s="83"/>
      <c r="U35" s="83"/>
      <c r="V35" s="83"/>
      <c r="W35" s="83"/>
      <c r="X35" s="83"/>
      <c r="Y35" s="83"/>
      <c r="Z35" s="83"/>
    </row>
    <row r="36" spans="2:26" ht="16" customHeight="1" x14ac:dyDescent="0.2">
      <c r="B36" s="84"/>
      <c r="C36" s="82"/>
      <c r="D36" s="82"/>
      <c r="E36" s="82"/>
      <c r="F36" s="82"/>
      <c r="G36" s="82"/>
      <c r="H36" s="82"/>
      <c r="I36" s="82"/>
      <c r="J36" s="82"/>
      <c r="K36" s="82"/>
      <c r="L36" s="82"/>
      <c r="M36" s="82"/>
      <c r="N36" s="82"/>
      <c r="O36" s="82"/>
      <c r="P36" s="82"/>
      <c r="Q36" s="82"/>
      <c r="R36" s="82"/>
      <c r="S36" s="82"/>
      <c r="T36" s="83"/>
      <c r="U36" s="83"/>
      <c r="V36" s="83"/>
      <c r="W36" s="83"/>
      <c r="X36" s="83"/>
      <c r="Y36" s="83"/>
      <c r="Z36" s="83"/>
    </row>
    <row r="37" spans="2:26" ht="16" customHeight="1" x14ac:dyDescent="0.2">
      <c r="B37" s="86" t="s">
        <v>114</v>
      </c>
      <c r="C37" s="82"/>
      <c r="D37" s="82"/>
      <c r="E37" s="82"/>
      <c r="F37" s="82"/>
      <c r="G37" s="82"/>
      <c r="H37" s="82"/>
      <c r="I37" s="82"/>
      <c r="J37" s="82"/>
      <c r="K37" s="82"/>
      <c r="L37" s="82"/>
      <c r="M37" s="82"/>
      <c r="N37" s="82"/>
      <c r="O37" s="82"/>
      <c r="P37" s="82"/>
      <c r="Q37" s="82"/>
      <c r="R37" s="82"/>
      <c r="S37" s="82"/>
      <c r="T37" s="83"/>
      <c r="U37" s="83"/>
      <c r="V37" s="83"/>
      <c r="W37" s="83"/>
      <c r="X37" s="83"/>
      <c r="Y37" s="83"/>
      <c r="Z37" s="83"/>
    </row>
    <row r="38" spans="2:26" ht="16" customHeight="1" x14ac:dyDescent="0.2">
      <c r="B38" s="84" t="s">
        <v>115</v>
      </c>
      <c r="C38" s="82"/>
      <c r="D38" s="82"/>
      <c r="E38" s="82"/>
      <c r="F38" s="82"/>
      <c r="G38" s="82"/>
      <c r="H38" s="82"/>
      <c r="I38" s="82"/>
      <c r="J38" s="82"/>
      <c r="K38" s="82"/>
      <c r="L38" s="82"/>
      <c r="M38" s="82"/>
      <c r="N38" s="82"/>
      <c r="O38" s="82"/>
      <c r="P38" s="82"/>
      <c r="Q38" s="82"/>
      <c r="R38" s="82"/>
      <c r="S38" s="82"/>
      <c r="T38" s="83"/>
      <c r="U38" s="83"/>
      <c r="V38" s="83"/>
      <c r="W38" s="83"/>
      <c r="X38" s="83"/>
      <c r="Y38" s="83"/>
      <c r="Z38" s="83"/>
    </row>
    <row r="39" spans="2:26" ht="16" customHeight="1" x14ac:dyDescent="0.2">
      <c r="B39" s="84"/>
      <c r="C39" s="82"/>
      <c r="D39" s="82"/>
      <c r="E39" s="82"/>
      <c r="F39" s="82"/>
      <c r="G39" s="82"/>
      <c r="H39" s="82"/>
      <c r="I39" s="82"/>
      <c r="J39" s="82"/>
      <c r="K39" s="82"/>
      <c r="L39" s="82"/>
      <c r="M39" s="82"/>
      <c r="N39" s="82"/>
      <c r="O39" s="82"/>
      <c r="P39" s="82"/>
      <c r="Q39" s="82"/>
      <c r="R39" s="82"/>
      <c r="S39" s="82"/>
      <c r="T39" s="83"/>
      <c r="U39" s="83"/>
      <c r="V39" s="83"/>
      <c r="W39" s="83"/>
      <c r="X39" s="83"/>
      <c r="Y39" s="83"/>
      <c r="Z39" s="83"/>
    </row>
    <row r="40" spans="2:26" ht="16" customHeight="1" x14ac:dyDescent="0.2">
      <c r="B40" s="84" t="s">
        <v>116</v>
      </c>
      <c r="C40" s="82"/>
      <c r="D40" s="82"/>
      <c r="E40" s="82"/>
      <c r="F40" s="82"/>
      <c r="G40" s="82"/>
      <c r="H40" s="82"/>
      <c r="I40" s="82"/>
      <c r="J40" s="82"/>
      <c r="K40" s="82"/>
      <c r="L40" s="82"/>
      <c r="M40" s="82"/>
      <c r="N40" s="82"/>
      <c r="O40" s="82"/>
      <c r="P40" s="82"/>
      <c r="Q40" s="82"/>
      <c r="R40" s="82"/>
      <c r="S40" s="82"/>
      <c r="T40" s="83"/>
      <c r="U40" s="83"/>
      <c r="V40" s="83"/>
      <c r="W40" s="83"/>
      <c r="X40" s="83"/>
      <c r="Y40" s="83"/>
      <c r="Z40" s="83"/>
    </row>
    <row r="41" spans="2:26" ht="16" customHeight="1" x14ac:dyDescent="0.2">
      <c r="B41" s="87" t="s">
        <v>135</v>
      </c>
      <c r="C41" s="82"/>
      <c r="D41" s="82"/>
      <c r="E41" s="82"/>
      <c r="F41" s="82"/>
      <c r="G41" s="82"/>
      <c r="H41" s="82"/>
      <c r="I41" s="82"/>
      <c r="J41" s="82"/>
      <c r="K41" s="82"/>
      <c r="L41" s="82"/>
      <c r="M41" s="82"/>
      <c r="N41" s="82"/>
      <c r="O41" s="82"/>
      <c r="P41" s="82"/>
      <c r="Q41" s="82"/>
      <c r="R41" s="82"/>
      <c r="S41" s="82"/>
      <c r="T41" s="83"/>
      <c r="U41" s="83"/>
      <c r="V41" s="83"/>
      <c r="W41" s="83"/>
      <c r="X41" s="83"/>
      <c r="Y41" s="83"/>
      <c r="Z41" s="83"/>
    </row>
    <row r="42" spans="2:26" ht="16" customHeight="1" x14ac:dyDescent="0.2">
      <c r="B42" s="87" t="s">
        <v>136</v>
      </c>
      <c r="C42" s="82"/>
      <c r="D42" s="82"/>
      <c r="E42" s="82"/>
      <c r="F42" s="82"/>
      <c r="G42" s="82"/>
      <c r="H42" s="82"/>
      <c r="I42" s="82"/>
      <c r="J42" s="82"/>
      <c r="K42" s="82"/>
      <c r="L42" s="82"/>
      <c r="M42" s="82"/>
      <c r="N42" s="82"/>
      <c r="O42" s="82"/>
      <c r="P42" s="82"/>
      <c r="Q42" s="82"/>
      <c r="R42" s="82"/>
      <c r="S42" s="82"/>
      <c r="T42" s="83"/>
      <c r="U42" s="83"/>
      <c r="V42" s="83"/>
      <c r="W42" s="83"/>
      <c r="X42" s="83"/>
      <c r="Y42" s="83"/>
      <c r="Z42" s="83"/>
    </row>
    <row r="43" spans="2:26" ht="16" customHeight="1" x14ac:dyDescent="0.2">
      <c r="B43" s="87" t="s">
        <v>137</v>
      </c>
      <c r="C43" s="82"/>
      <c r="D43" s="82"/>
      <c r="E43" s="82"/>
      <c r="F43" s="82"/>
      <c r="G43" s="82"/>
      <c r="H43" s="82"/>
      <c r="I43" s="82"/>
      <c r="J43" s="82"/>
      <c r="K43" s="82"/>
      <c r="L43" s="82"/>
      <c r="M43" s="82"/>
      <c r="N43" s="82"/>
      <c r="O43" s="82"/>
      <c r="P43" s="82"/>
      <c r="Q43" s="82"/>
      <c r="R43" s="82"/>
      <c r="S43" s="82"/>
      <c r="T43" s="83"/>
      <c r="U43" s="83"/>
      <c r="V43" s="83"/>
      <c r="W43" s="83"/>
      <c r="X43" s="83"/>
      <c r="Y43" s="83"/>
      <c r="Z43" s="83"/>
    </row>
    <row r="44" spans="2:26" ht="16" customHeight="1" x14ac:dyDescent="0.2">
      <c r="B44" s="84"/>
      <c r="C44" s="82"/>
      <c r="D44" s="82"/>
      <c r="E44" s="82"/>
      <c r="F44" s="82"/>
      <c r="G44" s="82"/>
      <c r="H44" s="82"/>
      <c r="I44" s="82"/>
      <c r="J44" s="82"/>
      <c r="K44" s="82"/>
      <c r="L44" s="82"/>
      <c r="M44" s="82"/>
      <c r="N44" s="82"/>
      <c r="O44" s="82"/>
      <c r="P44" s="82"/>
      <c r="Q44" s="82"/>
      <c r="R44" s="82"/>
      <c r="S44" s="82"/>
      <c r="T44" s="83"/>
      <c r="U44" s="83"/>
      <c r="V44" s="83"/>
      <c r="W44" s="83"/>
      <c r="X44" s="83"/>
      <c r="Y44" s="83"/>
      <c r="Z44" s="83"/>
    </row>
    <row r="45" spans="2:26" ht="18" customHeight="1" x14ac:dyDescent="0.2">
      <c r="B45" s="81" t="s">
        <v>117</v>
      </c>
      <c r="C45" s="82"/>
      <c r="D45" s="82"/>
      <c r="E45" s="82"/>
      <c r="F45" s="82"/>
      <c r="G45" s="82"/>
      <c r="H45" s="82"/>
      <c r="I45" s="82"/>
      <c r="J45" s="82"/>
      <c r="K45" s="82"/>
      <c r="L45" s="82"/>
      <c r="M45" s="82"/>
      <c r="N45" s="82"/>
      <c r="O45" s="82"/>
      <c r="P45" s="82"/>
      <c r="Q45" s="82"/>
      <c r="R45" s="82"/>
      <c r="S45" s="82"/>
      <c r="T45" s="83"/>
      <c r="U45" s="83"/>
      <c r="V45" s="83"/>
      <c r="W45" s="83"/>
      <c r="X45" s="83"/>
      <c r="Y45" s="83"/>
      <c r="Z45" s="83"/>
    </row>
    <row r="46" spans="2:26" ht="16" customHeight="1" x14ac:dyDescent="0.2">
      <c r="B46" s="84" t="s">
        <v>118</v>
      </c>
      <c r="C46" s="82"/>
      <c r="D46" s="82"/>
      <c r="E46" s="82"/>
      <c r="F46" s="82"/>
      <c r="G46" s="82"/>
      <c r="H46" s="82"/>
      <c r="I46" s="82"/>
      <c r="J46" s="82"/>
      <c r="K46" s="82"/>
      <c r="L46" s="82"/>
      <c r="M46" s="82"/>
      <c r="N46" s="82"/>
      <c r="O46" s="82"/>
      <c r="P46" s="82"/>
      <c r="Q46" s="82"/>
      <c r="R46" s="82"/>
      <c r="S46" s="82"/>
      <c r="T46" s="83"/>
      <c r="U46" s="83"/>
      <c r="V46" s="83"/>
      <c r="W46" s="83"/>
      <c r="X46" s="83"/>
      <c r="Y46" s="83"/>
      <c r="Z46" s="83"/>
    </row>
    <row r="47" spans="2:26" ht="16" customHeight="1" x14ac:dyDescent="0.2">
      <c r="B47" s="84"/>
      <c r="C47" s="82"/>
      <c r="D47" s="82"/>
      <c r="E47" s="82"/>
      <c r="F47" s="82"/>
      <c r="G47" s="82"/>
      <c r="H47" s="82"/>
      <c r="I47" s="82"/>
      <c r="J47" s="82"/>
      <c r="K47" s="82"/>
      <c r="L47" s="82"/>
      <c r="M47" s="82"/>
      <c r="N47" s="82"/>
      <c r="O47" s="82"/>
      <c r="P47" s="82"/>
      <c r="Q47" s="82"/>
      <c r="R47" s="82"/>
      <c r="S47" s="82"/>
      <c r="T47" s="83"/>
      <c r="U47" s="83"/>
      <c r="V47" s="83"/>
      <c r="W47" s="83"/>
      <c r="X47" s="83"/>
      <c r="Y47" s="83"/>
      <c r="Z47" s="83"/>
    </row>
    <row r="48" spans="2:26" ht="16" customHeight="1" x14ac:dyDescent="0.2">
      <c r="B48" s="84" t="s">
        <v>119</v>
      </c>
      <c r="C48" s="82"/>
      <c r="D48" s="82"/>
      <c r="E48" s="82"/>
      <c r="F48" s="82"/>
      <c r="G48" s="82"/>
      <c r="H48" s="82"/>
      <c r="I48" s="82"/>
      <c r="J48" s="82"/>
      <c r="K48" s="82"/>
      <c r="L48" s="82"/>
      <c r="M48" s="82"/>
      <c r="N48" s="82"/>
      <c r="O48" s="82"/>
      <c r="P48" s="82"/>
      <c r="Q48" s="82"/>
      <c r="R48" s="82"/>
      <c r="S48" s="82"/>
      <c r="T48" s="83"/>
      <c r="U48" s="83"/>
      <c r="V48" s="83"/>
      <c r="W48" s="83"/>
      <c r="X48" s="83"/>
      <c r="Y48" s="83"/>
      <c r="Z48" s="83"/>
    </row>
    <row r="49" spans="2:26" ht="16" customHeight="1" x14ac:dyDescent="0.2">
      <c r="B49" s="84"/>
      <c r="C49" s="82"/>
      <c r="D49" s="82"/>
      <c r="E49" s="82"/>
      <c r="F49" s="82"/>
      <c r="G49" s="82"/>
      <c r="H49" s="82"/>
      <c r="I49" s="82"/>
      <c r="J49" s="82"/>
      <c r="K49" s="82"/>
      <c r="L49" s="82"/>
      <c r="M49" s="82"/>
      <c r="N49" s="82"/>
      <c r="O49" s="82"/>
      <c r="P49" s="82"/>
      <c r="Q49" s="82"/>
      <c r="R49" s="82"/>
      <c r="S49" s="82"/>
      <c r="T49" s="83"/>
      <c r="U49" s="83"/>
      <c r="V49" s="83"/>
      <c r="W49" s="83"/>
      <c r="X49" s="83"/>
      <c r="Y49" s="83"/>
      <c r="Z49" s="83"/>
    </row>
    <row r="50" spans="2:26" ht="16" customHeight="1" x14ac:dyDescent="0.2">
      <c r="B50" s="84" t="s">
        <v>138</v>
      </c>
      <c r="C50" s="82"/>
      <c r="D50" s="82"/>
      <c r="E50" s="82"/>
      <c r="F50" s="82"/>
      <c r="G50" s="82"/>
      <c r="H50" s="82"/>
      <c r="I50" s="82"/>
      <c r="J50" s="82"/>
      <c r="K50" s="82"/>
      <c r="L50" s="82"/>
      <c r="M50" s="82"/>
      <c r="N50" s="82"/>
      <c r="O50" s="82"/>
      <c r="P50" s="82"/>
      <c r="Q50" s="82"/>
      <c r="R50" s="82"/>
      <c r="S50" s="82"/>
      <c r="T50" s="83"/>
      <c r="U50" s="83"/>
      <c r="V50" s="83"/>
      <c r="W50" s="83"/>
      <c r="X50" s="83"/>
      <c r="Y50" s="83"/>
      <c r="Z50" s="83"/>
    </row>
    <row r="51" spans="2:26" ht="16" customHeight="1" x14ac:dyDescent="0.2">
      <c r="B51" s="84"/>
      <c r="C51" s="82"/>
      <c r="D51" s="82"/>
      <c r="E51" s="82"/>
      <c r="F51" s="82"/>
      <c r="G51" s="82"/>
      <c r="H51" s="82"/>
      <c r="I51" s="82"/>
      <c r="J51" s="82"/>
      <c r="K51" s="82"/>
      <c r="L51" s="82"/>
      <c r="M51" s="82"/>
      <c r="N51" s="82"/>
      <c r="O51" s="82"/>
      <c r="P51" s="82"/>
      <c r="Q51" s="82"/>
      <c r="R51" s="82"/>
      <c r="S51" s="82"/>
      <c r="T51" s="83"/>
      <c r="U51" s="83"/>
      <c r="V51" s="83"/>
      <c r="W51" s="83"/>
      <c r="X51" s="83"/>
      <c r="Y51" s="83"/>
      <c r="Z51" s="83"/>
    </row>
    <row r="52" spans="2:26" ht="16" customHeight="1" x14ac:dyDescent="0.2">
      <c r="B52" s="88" t="s">
        <v>120</v>
      </c>
      <c r="C52" s="82"/>
      <c r="D52" s="82"/>
      <c r="E52" s="82"/>
      <c r="F52" s="82"/>
      <c r="G52" s="82"/>
      <c r="H52" s="82"/>
      <c r="I52" s="82"/>
      <c r="J52" s="82"/>
      <c r="K52" s="82"/>
      <c r="L52" s="82"/>
      <c r="M52" s="82"/>
      <c r="N52" s="82"/>
      <c r="O52" s="82"/>
      <c r="P52" s="82"/>
      <c r="Q52" s="82"/>
      <c r="R52" s="82"/>
      <c r="S52" s="82"/>
      <c r="T52" s="83"/>
      <c r="U52" s="83"/>
      <c r="V52" s="83"/>
      <c r="W52" s="83"/>
      <c r="X52" s="83"/>
      <c r="Y52" s="83"/>
      <c r="Z52" s="83"/>
    </row>
    <row r="53" spans="2:26" ht="16" customHeight="1" x14ac:dyDescent="0.2">
      <c r="B53" s="88"/>
      <c r="C53" s="82"/>
      <c r="D53" s="82"/>
      <c r="E53" s="82"/>
      <c r="F53" s="82"/>
      <c r="G53" s="82"/>
      <c r="H53" s="82"/>
      <c r="I53" s="82"/>
      <c r="J53" s="82"/>
      <c r="K53" s="82"/>
      <c r="L53" s="82"/>
      <c r="M53" s="82"/>
      <c r="N53" s="82"/>
      <c r="O53" s="82"/>
      <c r="P53" s="82"/>
      <c r="Q53" s="82"/>
      <c r="R53" s="82"/>
      <c r="S53" s="82"/>
      <c r="T53" s="83"/>
      <c r="U53" s="83"/>
      <c r="V53" s="83"/>
      <c r="W53" s="83"/>
      <c r="X53" s="83"/>
      <c r="Y53" s="83"/>
      <c r="Z53" s="83"/>
    </row>
    <row r="54" spans="2:26" ht="16" customHeight="1" x14ac:dyDescent="0.2">
      <c r="B54" s="89" t="s">
        <v>121</v>
      </c>
      <c r="C54" s="82"/>
      <c r="D54" s="82"/>
      <c r="E54" s="82"/>
      <c r="F54" s="82"/>
      <c r="G54" s="82"/>
      <c r="H54" s="82"/>
      <c r="I54" s="82"/>
      <c r="J54" s="82"/>
      <c r="K54" s="82"/>
      <c r="L54" s="82"/>
      <c r="M54" s="82"/>
      <c r="N54" s="82"/>
      <c r="O54" s="82"/>
      <c r="P54" s="82"/>
      <c r="Q54" s="82"/>
      <c r="R54" s="82"/>
      <c r="S54" s="82"/>
      <c r="T54" s="83"/>
      <c r="U54" s="83"/>
      <c r="V54" s="83"/>
      <c r="W54" s="83"/>
      <c r="X54" s="83"/>
      <c r="Y54" s="83"/>
      <c r="Z54" s="83"/>
    </row>
    <row r="55" spans="2:26" ht="16" customHeight="1" x14ac:dyDescent="0.2">
      <c r="B55" s="88" t="s">
        <v>122</v>
      </c>
      <c r="C55" s="82"/>
      <c r="D55" s="82"/>
      <c r="E55" s="82"/>
      <c r="F55" s="82"/>
      <c r="G55" s="82"/>
      <c r="H55" s="82"/>
      <c r="I55" s="82"/>
      <c r="J55" s="82"/>
      <c r="K55" s="82"/>
      <c r="L55" s="82"/>
      <c r="M55" s="82"/>
      <c r="N55" s="82"/>
      <c r="O55" s="82"/>
      <c r="P55" s="82"/>
      <c r="Q55" s="82"/>
      <c r="R55" s="82"/>
      <c r="S55" s="82"/>
      <c r="T55" s="83"/>
      <c r="U55" s="83"/>
      <c r="V55" s="83"/>
      <c r="W55" s="83"/>
      <c r="X55" s="83"/>
      <c r="Y55" s="83"/>
      <c r="Z55" s="83"/>
    </row>
    <row r="56" spans="2:26" ht="16" customHeight="1" x14ac:dyDescent="0.2">
      <c r="B56" s="88"/>
      <c r="C56" s="82"/>
      <c r="D56" s="82"/>
      <c r="E56" s="82"/>
      <c r="F56" s="82"/>
      <c r="G56" s="82"/>
      <c r="H56" s="82"/>
      <c r="I56" s="82"/>
      <c r="J56" s="82"/>
      <c r="K56" s="82"/>
      <c r="L56" s="82"/>
      <c r="M56" s="82"/>
      <c r="N56" s="82"/>
      <c r="O56" s="82"/>
      <c r="P56" s="82"/>
      <c r="Q56" s="82"/>
      <c r="R56" s="82"/>
      <c r="S56" s="82"/>
      <c r="T56" s="83"/>
      <c r="U56" s="83"/>
      <c r="V56" s="83"/>
      <c r="W56" s="83"/>
      <c r="X56" s="83"/>
      <c r="Y56" s="83"/>
      <c r="Z56" s="83"/>
    </row>
    <row r="57" spans="2:26" ht="16" customHeight="1" x14ac:dyDescent="0.2">
      <c r="B57" s="89" t="s">
        <v>123</v>
      </c>
      <c r="C57" s="82"/>
      <c r="D57" s="82"/>
      <c r="E57" s="82"/>
      <c r="F57" s="82"/>
      <c r="G57" s="82"/>
      <c r="H57" s="82"/>
      <c r="I57" s="82"/>
      <c r="J57" s="82"/>
      <c r="K57" s="82"/>
      <c r="L57" s="82"/>
      <c r="M57" s="82"/>
      <c r="N57" s="82"/>
      <c r="O57" s="82"/>
      <c r="P57" s="82"/>
      <c r="Q57" s="82"/>
      <c r="R57" s="82"/>
      <c r="S57" s="82"/>
      <c r="T57" s="83"/>
      <c r="U57" s="83"/>
      <c r="V57" s="83"/>
      <c r="W57" s="83"/>
      <c r="X57" s="83"/>
      <c r="Y57" s="83"/>
      <c r="Z57" s="83"/>
    </row>
    <row r="58" spans="2:26" ht="16" customHeight="1" x14ac:dyDescent="0.2">
      <c r="B58" s="88" t="s">
        <v>122</v>
      </c>
      <c r="C58" s="82"/>
      <c r="D58" s="82"/>
      <c r="E58" s="82"/>
      <c r="F58" s="82"/>
      <c r="G58" s="82"/>
      <c r="H58" s="82"/>
      <c r="I58" s="82"/>
      <c r="J58" s="82"/>
      <c r="K58" s="82"/>
      <c r="L58" s="82"/>
      <c r="M58" s="82"/>
      <c r="N58" s="82"/>
      <c r="O58" s="82"/>
      <c r="P58" s="82"/>
      <c r="Q58" s="82"/>
      <c r="R58" s="82"/>
      <c r="S58" s="82"/>
      <c r="T58" s="83"/>
      <c r="U58" s="83"/>
      <c r="V58" s="83"/>
      <c r="W58" s="83"/>
      <c r="X58" s="83"/>
      <c r="Y58" s="83"/>
      <c r="Z58" s="83"/>
    </row>
    <row r="59" spans="2:26" ht="16" customHeight="1" x14ac:dyDescent="0.2">
      <c r="B59" s="88"/>
      <c r="C59" s="82"/>
      <c r="D59" s="82"/>
      <c r="E59" s="82"/>
      <c r="F59" s="82"/>
      <c r="G59" s="82"/>
      <c r="H59" s="82"/>
      <c r="I59" s="82"/>
      <c r="J59" s="82"/>
      <c r="K59" s="82"/>
      <c r="L59" s="82"/>
      <c r="M59" s="82"/>
      <c r="N59" s="82"/>
      <c r="O59" s="82"/>
      <c r="P59" s="82"/>
      <c r="Q59" s="82"/>
      <c r="R59" s="82"/>
      <c r="S59" s="82"/>
      <c r="T59" s="83"/>
      <c r="U59" s="83"/>
      <c r="V59" s="83"/>
      <c r="W59" s="83"/>
      <c r="X59" s="83"/>
      <c r="Y59" s="83"/>
      <c r="Z59" s="83"/>
    </row>
    <row r="60" spans="2:26" ht="16" customHeight="1" x14ac:dyDescent="0.2">
      <c r="B60" s="89" t="s">
        <v>124</v>
      </c>
      <c r="C60" s="82"/>
      <c r="D60" s="82"/>
      <c r="E60" s="82"/>
      <c r="F60" s="82"/>
      <c r="G60" s="82"/>
      <c r="H60" s="82"/>
      <c r="I60" s="82"/>
      <c r="J60" s="82"/>
      <c r="K60" s="82"/>
      <c r="L60" s="82"/>
      <c r="M60" s="82"/>
      <c r="N60" s="82"/>
      <c r="O60" s="82"/>
      <c r="P60" s="82"/>
      <c r="Q60" s="82"/>
      <c r="R60" s="82"/>
      <c r="S60" s="82"/>
      <c r="T60" s="83"/>
      <c r="U60" s="83"/>
      <c r="V60" s="83"/>
      <c r="W60" s="83"/>
      <c r="X60" s="83"/>
      <c r="Y60" s="83"/>
      <c r="Z60" s="83"/>
    </row>
    <row r="61" spans="2:26" ht="16" customHeight="1" x14ac:dyDescent="0.2">
      <c r="B61" s="88" t="s">
        <v>122</v>
      </c>
      <c r="C61" s="82"/>
      <c r="D61" s="82"/>
      <c r="E61" s="82"/>
      <c r="F61" s="82"/>
      <c r="G61" s="82"/>
      <c r="H61" s="82"/>
      <c r="I61" s="82"/>
      <c r="J61" s="82"/>
      <c r="K61" s="82"/>
      <c r="L61" s="82"/>
      <c r="M61" s="82"/>
      <c r="N61" s="82"/>
      <c r="O61" s="82"/>
      <c r="P61" s="82"/>
      <c r="Q61" s="82"/>
      <c r="R61" s="82"/>
      <c r="S61" s="82"/>
      <c r="T61" s="83"/>
      <c r="U61" s="83"/>
      <c r="V61" s="83"/>
      <c r="W61" s="83"/>
      <c r="X61" s="83"/>
      <c r="Y61" s="83"/>
      <c r="Z61" s="83"/>
    </row>
    <row r="62" spans="2:26" ht="16" customHeight="1" x14ac:dyDescent="0.2">
      <c r="B62" s="88"/>
      <c r="C62" s="82"/>
      <c r="D62" s="82"/>
      <c r="E62" s="82"/>
      <c r="F62" s="82"/>
      <c r="G62" s="82"/>
      <c r="H62" s="82"/>
      <c r="I62" s="82"/>
      <c r="J62" s="82"/>
      <c r="K62" s="82"/>
      <c r="L62" s="82"/>
      <c r="M62" s="82"/>
      <c r="N62" s="82"/>
      <c r="O62" s="82"/>
      <c r="P62" s="82"/>
      <c r="Q62" s="82"/>
      <c r="R62" s="82"/>
      <c r="S62" s="82"/>
      <c r="T62" s="83"/>
      <c r="U62" s="83"/>
      <c r="V62" s="83"/>
      <c r="W62" s="83"/>
      <c r="X62" s="83"/>
      <c r="Y62" s="83"/>
      <c r="Z62" s="83"/>
    </row>
    <row r="63" spans="2:26" ht="16" customHeight="1" x14ac:dyDescent="0.2">
      <c r="B63" s="89" t="s">
        <v>125</v>
      </c>
      <c r="C63" s="82"/>
      <c r="D63" s="82"/>
      <c r="E63" s="82"/>
      <c r="F63" s="82"/>
      <c r="G63" s="82"/>
      <c r="H63" s="82"/>
      <c r="I63" s="82"/>
      <c r="J63" s="82"/>
      <c r="K63" s="82"/>
      <c r="L63" s="82"/>
      <c r="M63" s="82"/>
      <c r="N63" s="82"/>
      <c r="O63" s="82"/>
      <c r="P63" s="82"/>
      <c r="Q63" s="82"/>
      <c r="R63" s="82"/>
      <c r="S63" s="82"/>
      <c r="T63" s="83"/>
      <c r="U63" s="83"/>
      <c r="V63" s="83"/>
      <c r="W63" s="83"/>
      <c r="X63" s="83"/>
      <c r="Y63" s="83"/>
      <c r="Z63" s="83"/>
    </row>
    <row r="64" spans="2:26" ht="16" customHeight="1" x14ac:dyDescent="0.2">
      <c r="B64" s="88" t="s">
        <v>126</v>
      </c>
      <c r="C64" s="82"/>
      <c r="D64" s="82"/>
      <c r="E64" s="82"/>
      <c r="F64" s="82"/>
      <c r="G64" s="82"/>
      <c r="H64" s="82"/>
      <c r="I64" s="82"/>
      <c r="J64" s="82"/>
      <c r="K64" s="82"/>
      <c r="L64" s="82"/>
      <c r="M64" s="82"/>
      <c r="N64" s="82"/>
      <c r="O64" s="82"/>
      <c r="P64" s="82"/>
      <c r="Q64" s="82"/>
      <c r="R64" s="82"/>
      <c r="S64" s="82"/>
      <c r="T64" s="83"/>
      <c r="U64" s="83"/>
      <c r="V64" s="83"/>
      <c r="W64" s="83"/>
      <c r="X64" s="83"/>
      <c r="Y64" s="83"/>
      <c r="Z64" s="83"/>
    </row>
    <row r="65" spans="2:26" ht="16" customHeight="1" x14ac:dyDescent="0.2">
      <c r="B65" s="88"/>
      <c r="C65" s="82"/>
      <c r="D65" s="82"/>
      <c r="E65" s="82"/>
      <c r="F65" s="82"/>
      <c r="G65" s="82"/>
      <c r="H65" s="82"/>
      <c r="I65" s="82"/>
      <c r="J65" s="82"/>
      <c r="K65" s="82"/>
      <c r="L65" s="82"/>
      <c r="M65" s="82"/>
      <c r="N65" s="82"/>
      <c r="O65" s="82"/>
      <c r="P65" s="82"/>
      <c r="Q65" s="82"/>
      <c r="R65" s="82"/>
      <c r="S65" s="82"/>
      <c r="T65" s="83"/>
      <c r="U65" s="83"/>
      <c r="V65" s="83"/>
      <c r="W65" s="83"/>
      <c r="X65" s="83"/>
      <c r="Y65" s="83"/>
      <c r="Z65" s="83"/>
    </row>
    <row r="66" spans="2:26" ht="16" customHeight="1" x14ac:dyDescent="0.2">
      <c r="B66" s="88" t="s">
        <v>127</v>
      </c>
      <c r="C66" s="82"/>
      <c r="D66" s="82"/>
      <c r="E66" s="82"/>
      <c r="F66" s="82"/>
      <c r="G66" s="82"/>
      <c r="H66" s="82"/>
      <c r="I66" s="82"/>
      <c r="J66" s="82"/>
      <c r="K66" s="82"/>
      <c r="L66" s="82"/>
      <c r="M66" s="82"/>
      <c r="N66" s="82"/>
      <c r="O66" s="82"/>
      <c r="P66" s="82"/>
      <c r="Q66" s="82"/>
      <c r="R66" s="82"/>
      <c r="S66" s="82"/>
      <c r="T66" s="83"/>
      <c r="U66" s="83"/>
      <c r="V66" s="83"/>
      <c r="W66" s="83"/>
      <c r="X66" s="83"/>
      <c r="Y66" s="83"/>
      <c r="Z66" s="83"/>
    </row>
    <row r="67" spans="2:26" ht="16" customHeight="1" x14ac:dyDescent="0.2">
      <c r="B67" s="84"/>
      <c r="C67" s="82"/>
      <c r="D67" s="82"/>
      <c r="E67" s="82"/>
      <c r="F67" s="82"/>
      <c r="G67" s="82"/>
      <c r="H67" s="82"/>
      <c r="I67" s="82"/>
      <c r="J67" s="82"/>
      <c r="K67" s="82"/>
      <c r="L67" s="82"/>
      <c r="M67" s="82"/>
      <c r="N67" s="82"/>
      <c r="O67" s="82"/>
      <c r="P67" s="82"/>
      <c r="Q67" s="82"/>
      <c r="R67" s="82"/>
      <c r="S67" s="82"/>
      <c r="T67" s="83"/>
      <c r="U67" s="83"/>
      <c r="V67" s="83"/>
      <c r="W67" s="83"/>
      <c r="X67" s="83"/>
      <c r="Y67" s="83"/>
      <c r="Z67" s="83"/>
    </row>
    <row r="68" spans="2:26" ht="16" customHeight="1" x14ac:dyDescent="0.2">
      <c r="B68" s="84" t="s">
        <v>128</v>
      </c>
      <c r="C68" s="82"/>
      <c r="D68" s="82"/>
      <c r="E68" s="82"/>
      <c r="F68" s="82"/>
      <c r="G68" s="82"/>
      <c r="H68" s="82"/>
      <c r="I68" s="82"/>
      <c r="J68" s="82"/>
      <c r="K68" s="82"/>
      <c r="L68" s="82"/>
      <c r="M68" s="82"/>
      <c r="N68" s="82"/>
      <c r="O68" s="82"/>
      <c r="P68" s="82"/>
      <c r="Q68" s="82"/>
      <c r="R68" s="82"/>
      <c r="S68" s="82"/>
      <c r="T68" s="83"/>
      <c r="U68" s="83"/>
      <c r="V68" s="83"/>
      <c r="W68" s="83"/>
      <c r="X68" s="83"/>
      <c r="Y68" s="83"/>
      <c r="Z68" s="83"/>
    </row>
    <row r="69" spans="2:26" ht="16" customHeight="1" x14ac:dyDescent="0.2">
      <c r="B69" s="84"/>
      <c r="C69" s="82"/>
      <c r="D69" s="82"/>
      <c r="E69" s="82"/>
      <c r="F69" s="82"/>
      <c r="G69" s="82"/>
      <c r="H69" s="82"/>
      <c r="I69" s="82"/>
      <c r="J69" s="82"/>
      <c r="K69" s="82"/>
      <c r="L69" s="82"/>
      <c r="M69" s="82"/>
      <c r="N69" s="82"/>
      <c r="O69" s="82"/>
      <c r="P69" s="82"/>
      <c r="Q69" s="82"/>
      <c r="R69" s="82"/>
      <c r="S69" s="82"/>
      <c r="T69" s="83"/>
      <c r="U69" s="83"/>
      <c r="V69" s="83"/>
      <c r="W69" s="83"/>
      <c r="X69" s="83"/>
      <c r="Y69" s="83"/>
      <c r="Z69" s="83"/>
    </row>
    <row r="70" spans="2:26" ht="32" customHeight="1" x14ac:dyDescent="0.2">
      <c r="B70" s="134" t="s">
        <v>129</v>
      </c>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83"/>
    </row>
    <row r="71" spans="2:26" ht="16" customHeight="1" x14ac:dyDescent="0.2">
      <c r="B71" s="82"/>
      <c r="C71" s="82"/>
      <c r="D71" s="82"/>
      <c r="E71" s="82"/>
      <c r="F71" s="82"/>
      <c r="G71" s="82"/>
      <c r="H71" s="82"/>
      <c r="I71" s="82"/>
      <c r="J71" s="82"/>
      <c r="K71" s="82"/>
      <c r="L71" s="82"/>
      <c r="M71" s="82"/>
      <c r="N71" s="82"/>
      <c r="O71" s="82"/>
      <c r="P71" s="82"/>
      <c r="Q71" s="82"/>
      <c r="R71" s="82"/>
      <c r="S71" s="82"/>
      <c r="T71" s="83"/>
      <c r="U71" s="83"/>
      <c r="V71" s="83"/>
      <c r="W71" s="83"/>
      <c r="X71" s="83"/>
      <c r="Y71" s="83"/>
      <c r="Z71" s="83"/>
    </row>
    <row r="72" spans="2:26" ht="16" customHeight="1" x14ac:dyDescent="0.2">
      <c r="B72" s="79"/>
      <c r="C72" s="79"/>
      <c r="D72" s="79"/>
      <c r="E72" s="79"/>
      <c r="F72" s="79"/>
      <c r="G72" s="79"/>
      <c r="H72" s="79"/>
      <c r="I72" s="79"/>
      <c r="J72" s="79"/>
      <c r="K72" s="79"/>
      <c r="L72" s="79"/>
      <c r="M72" s="79"/>
      <c r="N72" s="79"/>
      <c r="O72" s="79"/>
      <c r="P72" s="79"/>
      <c r="Q72" s="79"/>
      <c r="R72" s="79"/>
      <c r="S72" s="79"/>
    </row>
    <row r="73" spans="2:26" ht="16" customHeight="1" x14ac:dyDescent="0.2">
      <c r="B73" s="79"/>
      <c r="C73" s="79"/>
      <c r="D73" s="79"/>
      <c r="E73" s="79"/>
      <c r="F73" s="79"/>
      <c r="G73" s="79"/>
      <c r="H73" s="79"/>
      <c r="I73" s="79"/>
      <c r="J73" s="79"/>
      <c r="K73" s="79"/>
      <c r="L73" s="79"/>
      <c r="M73" s="79"/>
      <c r="N73" s="79"/>
      <c r="O73" s="79"/>
      <c r="P73" s="79"/>
      <c r="Q73" s="79"/>
      <c r="R73" s="79"/>
      <c r="S73" s="79"/>
    </row>
    <row r="74" spans="2:26" ht="16" customHeight="1" x14ac:dyDescent="0.2">
      <c r="B74" s="79"/>
      <c r="C74" s="79"/>
      <c r="D74" s="79"/>
      <c r="E74" s="79"/>
      <c r="F74" s="79"/>
      <c r="G74" s="79"/>
      <c r="H74" s="79"/>
      <c r="I74" s="79"/>
      <c r="J74" s="79"/>
      <c r="K74" s="79"/>
      <c r="L74" s="79"/>
      <c r="M74" s="79"/>
      <c r="N74" s="79"/>
      <c r="O74" s="79"/>
      <c r="P74" s="79"/>
      <c r="Q74" s="79"/>
      <c r="R74" s="79"/>
      <c r="S74" s="79"/>
    </row>
    <row r="75" spans="2:26" ht="16" customHeight="1" x14ac:dyDescent="0.2">
      <c r="B75" s="79"/>
      <c r="C75" s="79"/>
      <c r="D75" s="79"/>
      <c r="E75" s="79"/>
      <c r="F75" s="79"/>
      <c r="G75" s="79"/>
      <c r="H75" s="79"/>
      <c r="I75" s="79"/>
      <c r="J75" s="79"/>
      <c r="K75" s="79"/>
      <c r="L75" s="79"/>
      <c r="M75" s="79"/>
      <c r="N75" s="79"/>
      <c r="O75" s="79"/>
      <c r="P75" s="79"/>
      <c r="Q75" s="79"/>
      <c r="R75" s="79"/>
      <c r="S75" s="79"/>
    </row>
    <row r="76" spans="2:26" ht="16" customHeight="1" x14ac:dyDescent="0.2">
      <c r="B76" s="79"/>
      <c r="C76" s="79"/>
      <c r="D76" s="79"/>
      <c r="E76" s="79"/>
      <c r="F76" s="79"/>
      <c r="G76" s="79"/>
      <c r="H76" s="79"/>
      <c r="I76" s="79"/>
      <c r="J76" s="79"/>
      <c r="K76" s="79"/>
      <c r="L76" s="79"/>
      <c r="M76" s="79"/>
      <c r="N76" s="79"/>
      <c r="O76" s="79"/>
      <c r="P76" s="79"/>
      <c r="Q76" s="79"/>
      <c r="R76" s="79"/>
      <c r="S76" s="79"/>
    </row>
    <row r="77" spans="2:26" ht="16" customHeight="1" x14ac:dyDescent="0.2">
      <c r="B77" s="79"/>
      <c r="C77" s="79"/>
      <c r="D77" s="79"/>
      <c r="E77" s="79"/>
      <c r="F77" s="79"/>
      <c r="G77" s="79"/>
      <c r="H77" s="79"/>
      <c r="I77" s="79"/>
      <c r="J77" s="79"/>
      <c r="K77" s="79"/>
      <c r="L77" s="79"/>
      <c r="M77" s="79"/>
      <c r="N77" s="79"/>
      <c r="O77" s="79"/>
      <c r="P77" s="79"/>
      <c r="Q77" s="79"/>
      <c r="R77" s="79"/>
      <c r="S77" s="79"/>
    </row>
  </sheetData>
  <sheetProtection algorithmName="SHA-512" hashValue="8D7PKFSDB5FgzyH25NU+cesgNPtQTvDAJvxA+84ExQPNQ5hDmF/2a1usECnz4mTGxKO7/YrdC34+Xs1wD5uc1w==" saltValue="KR2EybrvOmpSusil8h5sZA==" spinCount="100000" sheet="1" objects="1" scenarios="1" selectLockedCells="1" selectUnlockedCells="1"/>
  <mergeCells count="4">
    <mergeCell ref="B10:X10"/>
    <mergeCell ref="B21:X21"/>
    <mergeCell ref="B26:X26"/>
    <mergeCell ref="B70:Y70"/>
  </mergeCell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4B6E6-9AF8-8846-AF6A-97DBB2F85089}">
  <sheetPr codeName="Sheet2"/>
  <dimension ref="A1:F35"/>
  <sheetViews>
    <sheetView workbookViewId="0">
      <selection activeCell="A87" sqref="A87"/>
    </sheetView>
  </sheetViews>
  <sheetFormatPr baseColWidth="10" defaultRowHeight="16" x14ac:dyDescent="0.2"/>
  <cols>
    <col min="1" max="1" width="16.5" style="2" customWidth="1"/>
    <col min="2" max="6" width="10.83203125" style="2"/>
    <col min="7" max="7" width="11.1640625" bestFit="1" customWidth="1"/>
  </cols>
  <sheetData>
    <row r="1" spans="1:6" x14ac:dyDescent="0.2">
      <c r="A1" s="50"/>
      <c r="B1" s="51"/>
      <c r="C1" s="54" t="s">
        <v>12</v>
      </c>
      <c r="D1" s="54"/>
      <c r="E1" s="54"/>
      <c r="F1" s="55"/>
    </row>
    <row r="2" spans="1:6" x14ac:dyDescent="0.2">
      <c r="A2" s="52" t="s">
        <v>7</v>
      </c>
      <c r="B2" s="49" t="s">
        <v>6</v>
      </c>
      <c r="C2" s="49" t="s">
        <v>8</v>
      </c>
      <c r="D2" s="49" t="s">
        <v>9</v>
      </c>
      <c r="E2" s="49" t="s">
        <v>10</v>
      </c>
      <c r="F2" s="53" t="s">
        <v>11</v>
      </c>
    </row>
    <row r="3" spans="1:6" x14ac:dyDescent="0.2">
      <c r="A3" s="1" t="s">
        <v>38</v>
      </c>
      <c r="B3" s="3">
        <v>32</v>
      </c>
      <c r="C3" s="6" t="str">
        <f t="shared" ref="C3:C35" si="0">DEC2BIN(LEFT(A3,FIND(".",A3)-1),8)</f>
        <v>11111111</v>
      </c>
      <c r="D3" s="6" t="str">
        <f t="shared" ref="D3:D35" si="1">DEC2BIN(MID(A3,FIND(".",A3)+1,FIND(".",A3,FIND(".",A3)+1)-FIND(".",A3)-1),8)</f>
        <v>11111111</v>
      </c>
      <c r="E3" s="6" t="str">
        <f t="shared" ref="E3:E35" si="2">DEC2BIN(MID(A3,FIND(".",A3,FIND(".",A3)+1)+1,FIND(".",A3,FIND(".",A3,FIND(".",A3)+1)+1)-(FIND(".",A3,FIND(".",A3)+1)+1)),8)</f>
        <v>11111111</v>
      </c>
      <c r="F3" s="7" t="str">
        <f>DEC2BIN(MID(A3,FIND(".",A3,FIND(".",A3,FIND(".",A3)+1)+1)+1,LEN(A3)-FIND(".",A3,FIND(".",A3,FIND(".",A3)+1)+1)),8)</f>
        <v>11111111</v>
      </c>
    </row>
    <row r="4" spans="1:6" x14ac:dyDescent="0.2">
      <c r="A4" s="1" t="s">
        <v>46</v>
      </c>
      <c r="B4" s="3">
        <v>31</v>
      </c>
      <c r="C4" s="6" t="str">
        <f t="shared" si="0"/>
        <v>11111111</v>
      </c>
      <c r="D4" s="6" t="str">
        <f t="shared" si="1"/>
        <v>11111111</v>
      </c>
      <c r="E4" s="6" t="str">
        <f t="shared" si="2"/>
        <v>11111111</v>
      </c>
      <c r="F4" s="7" t="str">
        <f>DEC2BIN(MID(A4,FIND(".",A4,FIND(".",A4,FIND(".",A4)+1)+1)+1,LEN(A4)-FIND(".",A4,FIND(".",A4,FIND(".",A4)+1)+1)),8)</f>
        <v>11111110</v>
      </c>
    </row>
    <row r="5" spans="1:6" x14ac:dyDescent="0.2">
      <c r="A5" s="1" t="s">
        <v>39</v>
      </c>
      <c r="B5" s="3">
        <v>30</v>
      </c>
      <c r="C5" s="6" t="str">
        <f t="shared" si="0"/>
        <v>11111111</v>
      </c>
      <c r="D5" s="6" t="str">
        <f t="shared" si="1"/>
        <v>11111111</v>
      </c>
      <c r="E5" s="6" t="str">
        <f t="shared" si="2"/>
        <v>11111111</v>
      </c>
      <c r="F5" s="7" t="str">
        <f t="shared" ref="F5:F35" si="3">DEC2BIN(MID(A5,FIND(".",A5,FIND(".",A5,FIND(".",A5)+1)+1)+1,LEN(A5)-FIND(".",A5,FIND(".",A5,FIND(".",A5)+1)+1)),8)</f>
        <v>11111100</v>
      </c>
    </row>
    <row r="6" spans="1:6" x14ac:dyDescent="0.2">
      <c r="A6" s="1" t="s">
        <v>40</v>
      </c>
      <c r="B6" s="3">
        <v>29</v>
      </c>
      <c r="C6" s="6" t="str">
        <f t="shared" si="0"/>
        <v>11111111</v>
      </c>
      <c r="D6" s="6" t="str">
        <f t="shared" si="1"/>
        <v>11111111</v>
      </c>
      <c r="E6" s="6" t="str">
        <f t="shared" si="2"/>
        <v>11111111</v>
      </c>
      <c r="F6" s="7" t="str">
        <f t="shared" si="3"/>
        <v>11111000</v>
      </c>
    </row>
    <row r="7" spans="1:6" x14ac:dyDescent="0.2">
      <c r="A7" s="1" t="s">
        <v>24</v>
      </c>
      <c r="B7" s="3">
        <v>28</v>
      </c>
      <c r="C7" s="6" t="str">
        <f t="shared" si="0"/>
        <v>11111111</v>
      </c>
      <c r="D7" s="6" t="str">
        <f t="shared" si="1"/>
        <v>11111111</v>
      </c>
      <c r="E7" s="6" t="str">
        <f t="shared" si="2"/>
        <v>11111111</v>
      </c>
      <c r="F7" s="7" t="str">
        <f t="shared" si="3"/>
        <v>11110000</v>
      </c>
    </row>
    <row r="8" spans="1:6" x14ac:dyDescent="0.2">
      <c r="A8" s="1" t="s">
        <v>41</v>
      </c>
      <c r="B8" s="3">
        <v>27</v>
      </c>
      <c r="C8" s="6" t="str">
        <f t="shared" si="0"/>
        <v>11111111</v>
      </c>
      <c r="D8" s="6" t="str">
        <f t="shared" si="1"/>
        <v>11111111</v>
      </c>
      <c r="E8" s="6" t="str">
        <f t="shared" si="2"/>
        <v>11111111</v>
      </c>
      <c r="F8" s="7" t="str">
        <f t="shared" si="3"/>
        <v>11100000</v>
      </c>
    </row>
    <row r="9" spans="1:6" x14ac:dyDescent="0.2">
      <c r="A9" s="1" t="s">
        <v>42</v>
      </c>
      <c r="B9" s="3">
        <v>26</v>
      </c>
      <c r="C9" s="6" t="str">
        <f t="shared" si="0"/>
        <v>11111111</v>
      </c>
      <c r="D9" s="6" t="str">
        <f t="shared" si="1"/>
        <v>11111111</v>
      </c>
      <c r="E9" s="6" t="str">
        <f t="shared" si="2"/>
        <v>11111111</v>
      </c>
      <c r="F9" s="7" t="str">
        <f t="shared" si="3"/>
        <v>11000000</v>
      </c>
    </row>
    <row r="10" spans="1:6" x14ac:dyDescent="0.2">
      <c r="A10" s="1" t="s">
        <v>43</v>
      </c>
      <c r="B10" s="3">
        <v>25</v>
      </c>
      <c r="C10" s="6" t="str">
        <f t="shared" si="0"/>
        <v>11111111</v>
      </c>
      <c r="D10" s="6" t="str">
        <f t="shared" si="1"/>
        <v>11111111</v>
      </c>
      <c r="E10" s="6" t="str">
        <f t="shared" si="2"/>
        <v>11111111</v>
      </c>
      <c r="F10" s="7" t="str">
        <f t="shared" si="3"/>
        <v>10000000</v>
      </c>
    </row>
    <row r="11" spans="1:6" x14ac:dyDescent="0.2">
      <c r="A11" s="1" t="s">
        <v>44</v>
      </c>
      <c r="B11" s="3">
        <v>24</v>
      </c>
      <c r="C11" s="6" t="str">
        <f t="shared" si="0"/>
        <v>11111111</v>
      </c>
      <c r="D11" s="6" t="str">
        <f t="shared" si="1"/>
        <v>11111111</v>
      </c>
      <c r="E11" s="6" t="str">
        <f t="shared" si="2"/>
        <v>11111111</v>
      </c>
      <c r="F11" s="7" t="str">
        <f t="shared" si="3"/>
        <v>00000000</v>
      </c>
    </row>
    <row r="12" spans="1:6" x14ac:dyDescent="0.2">
      <c r="A12" s="1" t="s">
        <v>45</v>
      </c>
      <c r="B12" s="3">
        <v>23</v>
      </c>
      <c r="C12" s="6" t="str">
        <f t="shared" si="0"/>
        <v>11111111</v>
      </c>
      <c r="D12" s="6" t="str">
        <f t="shared" si="1"/>
        <v>11111111</v>
      </c>
      <c r="E12" s="6" t="str">
        <f t="shared" si="2"/>
        <v>11111110</v>
      </c>
      <c r="F12" s="7" t="str">
        <f t="shared" si="3"/>
        <v>00000000</v>
      </c>
    </row>
    <row r="13" spans="1:6" x14ac:dyDescent="0.2">
      <c r="A13" s="1" t="s">
        <v>47</v>
      </c>
      <c r="B13" s="3">
        <v>22</v>
      </c>
      <c r="C13" s="6" t="str">
        <f t="shared" si="0"/>
        <v>11111111</v>
      </c>
      <c r="D13" s="6" t="str">
        <f t="shared" si="1"/>
        <v>11111111</v>
      </c>
      <c r="E13" s="6" t="str">
        <f t="shared" si="2"/>
        <v>11111100</v>
      </c>
      <c r="F13" s="7" t="str">
        <f t="shared" si="3"/>
        <v>00000000</v>
      </c>
    </row>
    <row r="14" spans="1:6" x14ac:dyDescent="0.2">
      <c r="A14" s="1" t="s">
        <v>48</v>
      </c>
      <c r="B14" s="3">
        <v>21</v>
      </c>
      <c r="C14" s="6" t="str">
        <f t="shared" si="0"/>
        <v>11111111</v>
      </c>
      <c r="D14" s="6" t="str">
        <f t="shared" si="1"/>
        <v>11111111</v>
      </c>
      <c r="E14" s="6" t="str">
        <f t="shared" si="2"/>
        <v>11111000</v>
      </c>
      <c r="F14" s="7" t="str">
        <f t="shared" si="3"/>
        <v>00000000</v>
      </c>
    </row>
    <row r="15" spans="1:6" x14ac:dyDescent="0.2">
      <c r="A15" s="1" t="s">
        <v>49</v>
      </c>
      <c r="B15" s="3">
        <v>20</v>
      </c>
      <c r="C15" s="6" t="str">
        <f t="shared" si="0"/>
        <v>11111111</v>
      </c>
      <c r="D15" s="6" t="str">
        <f t="shared" si="1"/>
        <v>11111111</v>
      </c>
      <c r="E15" s="6" t="str">
        <f t="shared" si="2"/>
        <v>11110000</v>
      </c>
      <c r="F15" s="7" t="str">
        <f t="shared" si="3"/>
        <v>00000000</v>
      </c>
    </row>
    <row r="16" spans="1:6" x14ac:dyDescent="0.2">
      <c r="A16" s="1" t="s">
        <v>50</v>
      </c>
      <c r="B16" s="3">
        <v>19</v>
      </c>
      <c r="C16" s="6" t="str">
        <f t="shared" si="0"/>
        <v>11111111</v>
      </c>
      <c r="D16" s="6" t="str">
        <f t="shared" si="1"/>
        <v>11111111</v>
      </c>
      <c r="E16" s="6" t="str">
        <f t="shared" si="2"/>
        <v>11100000</v>
      </c>
      <c r="F16" s="7" t="str">
        <f t="shared" si="3"/>
        <v>00000000</v>
      </c>
    </row>
    <row r="17" spans="1:6" x14ac:dyDescent="0.2">
      <c r="A17" s="1" t="s">
        <v>51</v>
      </c>
      <c r="B17" s="3">
        <v>18</v>
      </c>
      <c r="C17" s="6" t="str">
        <f t="shared" si="0"/>
        <v>11111111</v>
      </c>
      <c r="D17" s="6" t="str">
        <f t="shared" si="1"/>
        <v>11111111</v>
      </c>
      <c r="E17" s="6" t="str">
        <f t="shared" si="2"/>
        <v>11000000</v>
      </c>
      <c r="F17" s="7" t="str">
        <f t="shared" si="3"/>
        <v>00000000</v>
      </c>
    </row>
    <row r="18" spans="1:6" x14ac:dyDescent="0.2">
      <c r="A18" s="1" t="s">
        <v>52</v>
      </c>
      <c r="B18" s="3">
        <v>17</v>
      </c>
      <c r="C18" s="6" t="str">
        <f t="shared" si="0"/>
        <v>11111111</v>
      </c>
      <c r="D18" s="6" t="str">
        <f t="shared" si="1"/>
        <v>11111111</v>
      </c>
      <c r="E18" s="6" t="str">
        <f t="shared" si="2"/>
        <v>10000000</v>
      </c>
      <c r="F18" s="7" t="str">
        <f t="shared" si="3"/>
        <v>00000000</v>
      </c>
    </row>
    <row r="19" spans="1:6" x14ac:dyDescent="0.2">
      <c r="A19" s="1" t="s">
        <v>53</v>
      </c>
      <c r="B19" s="3">
        <v>16</v>
      </c>
      <c r="C19" s="6" t="str">
        <f t="shared" si="0"/>
        <v>11111111</v>
      </c>
      <c r="D19" s="6" t="str">
        <f t="shared" si="1"/>
        <v>11111111</v>
      </c>
      <c r="E19" s="6" t="str">
        <f t="shared" si="2"/>
        <v>00000000</v>
      </c>
      <c r="F19" s="7" t="str">
        <f t="shared" si="3"/>
        <v>00000000</v>
      </c>
    </row>
    <row r="20" spans="1:6" x14ac:dyDescent="0.2">
      <c r="A20" s="1" t="s">
        <v>54</v>
      </c>
      <c r="B20" s="3">
        <v>15</v>
      </c>
      <c r="C20" s="6" t="str">
        <f t="shared" si="0"/>
        <v>11111111</v>
      </c>
      <c r="D20" s="6" t="str">
        <f t="shared" si="1"/>
        <v>11111110</v>
      </c>
      <c r="E20" s="6" t="str">
        <f t="shared" si="2"/>
        <v>00000000</v>
      </c>
      <c r="F20" s="7" t="str">
        <f t="shared" si="3"/>
        <v>00000000</v>
      </c>
    </row>
    <row r="21" spans="1:6" x14ac:dyDescent="0.2">
      <c r="A21" s="1" t="s">
        <v>55</v>
      </c>
      <c r="B21" s="3">
        <v>14</v>
      </c>
      <c r="C21" s="6" t="str">
        <f t="shared" si="0"/>
        <v>11111111</v>
      </c>
      <c r="D21" s="6" t="str">
        <f t="shared" si="1"/>
        <v>11111100</v>
      </c>
      <c r="E21" s="6" t="str">
        <f t="shared" si="2"/>
        <v>00000000</v>
      </c>
      <c r="F21" s="7" t="str">
        <f t="shared" si="3"/>
        <v>00000000</v>
      </c>
    </row>
    <row r="22" spans="1:6" x14ac:dyDescent="0.2">
      <c r="A22" s="1" t="s">
        <v>56</v>
      </c>
      <c r="B22" s="3">
        <v>13</v>
      </c>
      <c r="C22" s="6" t="str">
        <f t="shared" si="0"/>
        <v>11111111</v>
      </c>
      <c r="D22" s="6" t="str">
        <f t="shared" si="1"/>
        <v>11111000</v>
      </c>
      <c r="E22" s="6" t="str">
        <f t="shared" si="2"/>
        <v>00000000</v>
      </c>
      <c r="F22" s="7" t="str">
        <f t="shared" si="3"/>
        <v>00000000</v>
      </c>
    </row>
    <row r="23" spans="1:6" x14ac:dyDescent="0.2">
      <c r="A23" s="1" t="s">
        <v>57</v>
      </c>
      <c r="B23" s="3">
        <v>12</v>
      </c>
      <c r="C23" s="6" t="str">
        <f t="shared" si="0"/>
        <v>11111111</v>
      </c>
      <c r="D23" s="6" t="str">
        <f t="shared" si="1"/>
        <v>11110000</v>
      </c>
      <c r="E23" s="6" t="str">
        <f t="shared" si="2"/>
        <v>00000000</v>
      </c>
      <c r="F23" s="7" t="str">
        <f t="shared" si="3"/>
        <v>00000000</v>
      </c>
    </row>
    <row r="24" spans="1:6" x14ac:dyDescent="0.2">
      <c r="A24" s="1" t="s">
        <v>58</v>
      </c>
      <c r="B24" s="3">
        <v>11</v>
      </c>
      <c r="C24" s="6" t="str">
        <f t="shared" si="0"/>
        <v>11111111</v>
      </c>
      <c r="D24" s="6" t="str">
        <f t="shared" si="1"/>
        <v>11100000</v>
      </c>
      <c r="E24" s="6" t="str">
        <f t="shared" si="2"/>
        <v>00000000</v>
      </c>
      <c r="F24" s="7" t="str">
        <f t="shared" si="3"/>
        <v>00000000</v>
      </c>
    </row>
    <row r="25" spans="1:6" x14ac:dyDescent="0.2">
      <c r="A25" s="1" t="s">
        <v>59</v>
      </c>
      <c r="B25" s="3">
        <v>10</v>
      </c>
      <c r="C25" s="6" t="str">
        <f t="shared" si="0"/>
        <v>11111111</v>
      </c>
      <c r="D25" s="6" t="str">
        <f t="shared" si="1"/>
        <v>11000000</v>
      </c>
      <c r="E25" s="6" t="str">
        <f t="shared" si="2"/>
        <v>00000000</v>
      </c>
      <c r="F25" s="7" t="str">
        <f t="shared" si="3"/>
        <v>00000000</v>
      </c>
    </row>
    <row r="26" spans="1:6" x14ac:dyDescent="0.2">
      <c r="A26" s="1" t="s">
        <v>37</v>
      </c>
      <c r="B26" s="3">
        <v>9</v>
      </c>
      <c r="C26" s="6" t="str">
        <f t="shared" si="0"/>
        <v>11111111</v>
      </c>
      <c r="D26" s="6" t="str">
        <f t="shared" si="1"/>
        <v>10000000</v>
      </c>
      <c r="E26" s="6" t="str">
        <f t="shared" si="2"/>
        <v>00000000</v>
      </c>
      <c r="F26" s="7" t="str">
        <f t="shared" si="3"/>
        <v>00000000</v>
      </c>
    </row>
    <row r="27" spans="1:6" x14ac:dyDescent="0.2">
      <c r="A27" s="1" t="s">
        <v>36</v>
      </c>
      <c r="B27" s="3">
        <v>8</v>
      </c>
      <c r="C27" s="6" t="str">
        <f t="shared" si="0"/>
        <v>11111111</v>
      </c>
      <c r="D27" s="6" t="str">
        <f t="shared" si="1"/>
        <v>00000000</v>
      </c>
      <c r="E27" s="6" t="str">
        <f t="shared" si="2"/>
        <v>00000000</v>
      </c>
      <c r="F27" s="7" t="str">
        <f t="shared" si="3"/>
        <v>00000000</v>
      </c>
    </row>
    <row r="28" spans="1:6" x14ac:dyDescent="0.2">
      <c r="A28" s="1" t="s">
        <v>35</v>
      </c>
      <c r="B28" s="3">
        <v>7</v>
      </c>
      <c r="C28" s="6" t="str">
        <f t="shared" si="0"/>
        <v>11111110</v>
      </c>
      <c r="D28" s="6" t="str">
        <f t="shared" si="1"/>
        <v>00000000</v>
      </c>
      <c r="E28" s="6" t="str">
        <f t="shared" si="2"/>
        <v>00000000</v>
      </c>
      <c r="F28" s="7" t="str">
        <f t="shared" si="3"/>
        <v>00000000</v>
      </c>
    </row>
    <row r="29" spans="1:6" x14ac:dyDescent="0.2">
      <c r="A29" s="1" t="s">
        <v>34</v>
      </c>
      <c r="B29" s="3">
        <v>6</v>
      </c>
      <c r="C29" s="6" t="str">
        <f t="shared" si="0"/>
        <v>11111100</v>
      </c>
      <c r="D29" s="6" t="str">
        <f t="shared" si="1"/>
        <v>00000000</v>
      </c>
      <c r="E29" s="6" t="str">
        <f t="shared" si="2"/>
        <v>00000000</v>
      </c>
      <c r="F29" s="7" t="str">
        <f t="shared" si="3"/>
        <v>00000000</v>
      </c>
    </row>
    <row r="30" spans="1:6" x14ac:dyDescent="0.2">
      <c r="A30" s="1" t="s">
        <v>33</v>
      </c>
      <c r="B30" s="3">
        <v>5</v>
      </c>
      <c r="C30" s="6" t="str">
        <f t="shared" si="0"/>
        <v>11111000</v>
      </c>
      <c r="D30" s="6" t="str">
        <f t="shared" si="1"/>
        <v>00000000</v>
      </c>
      <c r="E30" s="6" t="str">
        <f t="shared" si="2"/>
        <v>00000000</v>
      </c>
      <c r="F30" s="7" t="str">
        <f t="shared" si="3"/>
        <v>00000000</v>
      </c>
    </row>
    <row r="31" spans="1:6" x14ac:dyDescent="0.2">
      <c r="A31" s="1" t="s">
        <v>32</v>
      </c>
      <c r="B31" s="3">
        <v>4</v>
      </c>
      <c r="C31" s="6" t="str">
        <f t="shared" si="0"/>
        <v>11110000</v>
      </c>
      <c r="D31" s="6" t="str">
        <f t="shared" si="1"/>
        <v>00000000</v>
      </c>
      <c r="E31" s="6" t="str">
        <f t="shared" si="2"/>
        <v>00000000</v>
      </c>
      <c r="F31" s="7" t="str">
        <f t="shared" si="3"/>
        <v>00000000</v>
      </c>
    </row>
    <row r="32" spans="1:6" x14ac:dyDescent="0.2">
      <c r="A32" s="1" t="s">
        <v>31</v>
      </c>
      <c r="B32" s="3">
        <v>3</v>
      </c>
      <c r="C32" s="6" t="str">
        <f t="shared" si="0"/>
        <v>11100000</v>
      </c>
      <c r="D32" s="6" t="str">
        <f t="shared" si="1"/>
        <v>00000000</v>
      </c>
      <c r="E32" s="6" t="str">
        <f t="shared" si="2"/>
        <v>00000000</v>
      </c>
      <c r="F32" s="7" t="str">
        <f t="shared" si="3"/>
        <v>00000000</v>
      </c>
    </row>
    <row r="33" spans="1:6" x14ac:dyDescent="0.2">
      <c r="A33" s="1" t="s">
        <v>30</v>
      </c>
      <c r="B33" s="3">
        <v>2</v>
      </c>
      <c r="C33" s="6" t="str">
        <f t="shared" si="0"/>
        <v>11000000</v>
      </c>
      <c r="D33" s="6" t="str">
        <f t="shared" si="1"/>
        <v>00000000</v>
      </c>
      <c r="E33" s="6" t="str">
        <f t="shared" si="2"/>
        <v>00000000</v>
      </c>
      <c r="F33" s="7" t="str">
        <f t="shared" si="3"/>
        <v>00000000</v>
      </c>
    </row>
    <row r="34" spans="1:6" x14ac:dyDescent="0.2">
      <c r="A34" s="1" t="s">
        <v>29</v>
      </c>
      <c r="B34" s="3">
        <v>1</v>
      </c>
      <c r="C34" s="6" t="str">
        <f t="shared" si="0"/>
        <v>10000000</v>
      </c>
      <c r="D34" s="6" t="str">
        <f t="shared" si="1"/>
        <v>00000000</v>
      </c>
      <c r="E34" s="6" t="str">
        <f t="shared" si="2"/>
        <v>00000000</v>
      </c>
      <c r="F34" s="7" t="str">
        <f t="shared" si="3"/>
        <v>00000000</v>
      </c>
    </row>
    <row r="35" spans="1:6" ht="17" thickBot="1" x14ac:dyDescent="0.25">
      <c r="A35" s="5" t="s">
        <v>28</v>
      </c>
      <c r="B35" s="4">
        <v>0</v>
      </c>
      <c r="C35" s="8" t="str">
        <f t="shared" si="0"/>
        <v>00000000</v>
      </c>
      <c r="D35" s="8" t="str">
        <f t="shared" si="1"/>
        <v>00000000</v>
      </c>
      <c r="E35" s="8" t="str">
        <f t="shared" si="2"/>
        <v>00000000</v>
      </c>
      <c r="F35" s="9" t="str">
        <f t="shared" si="3"/>
        <v>00000000</v>
      </c>
    </row>
  </sheetData>
  <sheetProtection algorithmName="SHA-512" hashValue="7UBY+9YCeTphojZIjQJaqc0bQFRFYGcdPdA5Efx+ofW52VUlZT6sbVf5f7qtDgC5NxFfZBjYKH9l8G41zjyffg==" saltValue="ZO2ahAohxHGjDt825oxOnw==" spinCount="100000" sheet="1" objects="1" scenarios="1" selectLockedCells="1" selectUnlockedCells="1"/>
  <phoneticPr fontId="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2B373-0BED-F040-A749-079C4349B2F1}">
  <sheetPr codeName="Sheet3"/>
  <dimension ref="A1:E15"/>
  <sheetViews>
    <sheetView workbookViewId="0">
      <selection activeCell="B43" sqref="B43"/>
    </sheetView>
  </sheetViews>
  <sheetFormatPr baseColWidth="10" defaultRowHeight="16" x14ac:dyDescent="0.2"/>
  <cols>
    <col min="1" max="1" width="2.83203125" customWidth="1"/>
    <col min="2" max="2" width="97.5" customWidth="1"/>
    <col min="3" max="3" width="2.83203125" customWidth="1"/>
    <col min="4" max="5" width="0" hidden="1" customWidth="1"/>
  </cols>
  <sheetData>
    <row r="1" spans="1:5" ht="17" thickBot="1" x14ac:dyDescent="0.25">
      <c r="A1" s="10"/>
      <c r="B1" s="10"/>
      <c r="C1" s="10"/>
    </row>
    <row r="2" spans="1:5" ht="24" x14ac:dyDescent="0.3">
      <c r="A2" s="10"/>
      <c r="B2" s="11" t="s">
        <v>17</v>
      </c>
      <c r="C2" s="10"/>
    </row>
    <row r="3" spans="1:5" x14ac:dyDescent="0.2">
      <c r="A3" s="10"/>
      <c r="B3" s="12" t="s">
        <v>18</v>
      </c>
      <c r="C3" s="10"/>
    </row>
    <row r="4" spans="1:5" x14ac:dyDescent="0.2">
      <c r="A4" s="10"/>
      <c r="B4" s="12" t="s">
        <v>13</v>
      </c>
      <c r="C4" s="10"/>
    </row>
    <row r="5" spans="1:5" x14ac:dyDescent="0.2">
      <c r="A5" s="10"/>
      <c r="B5" s="12" t="str">
        <f ca="1">CONCATENATE(E5,-(D5))</f>
        <v>Copyright © Matthew R. Kisow, D.Sc. 2022-2022</v>
      </c>
      <c r="C5" s="10"/>
      <c r="D5">
        <f ca="1">YEAR(TODAY())</f>
        <v>2022</v>
      </c>
      <c r="E5" t="s">
        <v>89</v>
      </c>
    </row>
    <row r="6" spans="1:5" x14ac:dyDescent="0.2">
      <c r="A6" s="10"/>
      <c r="B6" s="12"/>
      <c r="C6" s="10"/>
    </row>
    <row r="7" spans="1:5" ht="24" x14ac:dyDescent="0.3">
      <c r="A7" s="10"/>
      <c r="B7" s="13" t="s">
        <v>16</v>
      </c>
      <c r="C7" s="10"/>
    </row>
    <row r="8" spans="1:5" x14ac:dyDescent="0.2">
      <c r="A8" s="10"/>
      <c r="B8" s="12" t="s">
        <v>14</v>
      </c>
      <c r="C8" s="10"/>
    </row>
    <row r="9" spans="1:5" x14ac:dyDescent="0.2">
      <c r="A9" s="10"/>
      <c r="B9" s="12"/>
      <c r="C9" s="10"/>
    </row>
    <row r="10" spans="1:5" ht="68" x14ac:dyDescent="0.2">
      <c r="A10" s="10"/>
      <c r="B10" s="14" t="s">
        <v>15</v>
      </c>
      <c r="C10" s="10"/>
    </row>
    <row r="11" spans="1:5" x14ac:dyDescent="0.2">
      <c r="A11" s="10"/>
      <c r="B11" s="14"/>
      <c r="C11" s="10"/>
    </row>
    <row r="12" spans="1:5" ht="17" thickBot="1" x14ac:dyDescent="0.25">
      <c r="A12" s="10"/>
      <c r="B12" s="15"/>
      <c r="C12" s="10"/>
    </row>
    <row r="13" spans="1:5" x14ac:dyDescent="0.2">
      <c r="A13" s="10"/>
      <c r="B13" s="10"/>
      <c r="C13" s="10"/>
    </row>
    <row r="14" spans="1:5" x14ac:dyDescent="0.2">
      <c r="A14" s="56"/>
      <c r="B14" s="56"/>
      <c r="C14" s="56"/>
    </row>
    <row r="15" spans="1:5" x14ac:dyDescent="0.2">
      <c r="A15" s="56"/>
      <c r="B15" s="56"/>
      <c r="C15" s="56"/>
    </row>
  </sheetData>
  <sheetProtection algorithmName="SHA-512" hashValue="C7x7BR7kNhiCk1oc2Lomx1iqOOWlcrPaa0h+e/RWWVjEPE9b9kfqZ3us4ohy64SBQpGStdzMlSiFIMEhPuYZMQ==" saltValue="8czkpyJa3apWlpNys80j8w==" spinCount="100000"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IPv4 CALCULATOR</vt:lpstr>
      <vt:lpstr>DICTIONARY</vt:lpstr>
      <vt:lpstr>RULES</vt:lpstr>
      <vt:lpstr>CLASSFUL vs CLASSLESS ADDRESING</vt:lpstr>
      <vt:lpstr>IPv4 CIDR</vt:lpstr>
      <vt:lpstr>ABOUT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R. Kisow, D.Sc.</dc:creator>
  <cp:lastModifiedBy>Matthew Kisow</cp:lastModifiedBy>
  <dcterms:created xsi:type="dcterms:W3CDTF">2022-02-21T16:01:29Z</dcterms:created>
  <dcterms:modified xsi:type="dcterms:W3CDTF">2022-03-07T13:23:20Z</dcterms:modified>
</cp:coreProperties>
</file>